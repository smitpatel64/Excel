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smit/Desktop/github projects/excel projects/"/>
    </mc:Choice>
  </mc:AlternateContent>
  <xr:revisionPtr revIDLastSave="0" documentId="8_{0B0281CF-7710-FB4C-A18D-F550F0CF1435}" xr6:coauthVersionLast="47" xr6:coauthVersionMax="47" xr10:uidLastSave="{00000000-0000-0000-0000-000000000000}"/>
  <bookViews>
    <workbookView xWindow="0" yWindow="660" windowWidth="29400" windowHeight="18460" xr2:uid="{08D1751D-293F-7845-A514-EA63D40F5C1C}"/>
  </bookViews>
  <sheets>
    <sheet name="Dashboard" sheetId="13" r:id="rId1"/>
    <sheet name="Retail Store Sales" sheetId="1" r:id="rId2"/>
    <sheet name="KPIs" sheetId="4" r:id="rId3"/>
    <sheet name="Sales by Store" sheetId="5" r:id="rId4"/>
    <sheet name="Profit by State" sheetId="6" r:id="rId5"/>
    <sheet name="Sales Trend" sheetId="7" r:id="rId6"/>
    <sheet name="Profit by Category" sheetId="8" r:id="rId7"/>
    <sheet name="Payment Method Distribution" sheetId="9" r:id="rId8"/>
    <sheet name="Sales by City" sheetId="10" r:id="rId9"/>
    <sheet name="Sales by Subcategory" sheetId="11" r:id="rId10"/>
    <sheet name="Sales by Region" sheetId="12" r:id="rId11"/>
  </sheets>
  <definedNames>
    <definedName name="Slicer_Customer_Segment">#N/A</definedName>
    <definedName name="Slicer_State">#N/A</definedName>
  </definedNames>
  <calcPr calcId="191028"/>
  <pivotCaches>
    <pivotCache cacheId="3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<sst xmlns="http://schemas.openxmlformats.org/spreadsheetml/2006/main" count="4613" uniqueCount="605">
  <si>
    <t>Receipt ID</t>
  </si>
  <si>
    <t>Purchase Date</t>
  </si>
  <si>
    <t>Store Name</t>
  </si>
  <si>
    <t>City</t>
  </si>
  <si>
    <t>State</t>
  </si>
  <si>
    <t>Region</t>
  </si>
  <si>
    <t>Customer Segment</t>
  </si>
  <si>
    <t>Category</t>
  </si>
  <si>
    <t>Sub-Category</t>
  </si>
  <si>
    <t>Quantity</t>
  </si>
  <si>
    <t>Unit Price</t>
  </si>
  <si>
    <t>Sales</t>
  </si>
  <si>
    <t>Discount</t>
  </si>
  <si>
    <t>Profit</t>
  </si>
  <si>
    <t>Payment Method</t>
  </si>
  <si>
    <t>d48a4fb2-a086-4958-a221-4074c848ee96</t>
  </si>
  <si>
    <t>QuickBuy</t>
  </si>
  <si>
    <t>Pittsburgh</t>
  </si>
  <si>
    <t>Pennsylvania</t>
  </si>
  <si>
    <t>East</t>
  </si>
  <si>
    <t>Home Office</t>
  </si>
  <si>
    <t>Groceries</t>
  </si>
  <si>
    <t>Dairy</t>
  </si>
  <si>
    <t>Online Payment</t>
  </si>
  <si>
    <t>4ef780f6-fd1e-4ef6-bd6d-8db4b83bfd7c</t>
  </si>
  <si>
    <t>ShopEase</t>
  </si>
  <si>
    <t>Reno</t>
  </si>
  <si>
    <t>Nevada</t>
  </si>
  <si>
    <t>West</t>
  </si>
  <si>
    <t>Snacks</t>
  </si>
  <si>
    <t>Credit Card</t>
  </si>
  <si>
    <t>64d37fc6-8abc-43bb-b65e-b2b19a740cf9</t>
  </si>
  <si>
    <t>Urban Mart</t>
  </si>
  <si>
    <t>Houston</t>
  </si>
  <si>
    <t>Texas</t>
  </si>
  <si>
    <t>Central</t>
  </si>
  <si>
    <t>Consumer</t>
  </si>
  <si>
    <t>Cash</t>
  </si>
  <si>
    <t>c0bbdc30-cb26-4b16-9cdf-b31ba7fc3fa9</t>
  </si>
  <si>
    <t>Metro Store</t>
  </si>
  <si>
    <t>Dallas</t>
  </si>
  <si>
    <t>Clothing</t>
  </si>
  <si>
    <t>Women</t>
  </si>
  <si>
    <t>1d149b98-b8e7-4f65-bff3-5a82336c0b93</t>
  </si>
  <si>
    <t>ValueHub</t>
  </si>
  <si>
    <t>Chicago</t>
  </si>
  <si>
    <t>Illinois</t>
  </si>
  <si>
    <t>Home &amp; Kitchen</t>
  </si>
  <si>
    <t>Decor</t>
  </si>
  <si>
    <t>Bank Transfer</t>
  </si>
  <si>
    <t>ac6bbfbf-da60-4956-97c2-93246c9c6c9e</t>
  </si>
  <si>
    <t>Springfield</t>
  </si>
  <si>
    <t>Fruits</t>
  </si>
  <si>
    <t>5779442d-56df-4130-9d9c-e40215a791b7</t>
  </si>
  <si>
    <t>Charlotte</t>
  </si>
  <si>
    <t>North Carolina</t>
  </si>
  <si>
    <t>South</t>
  </si>
  <si>
    <t>Corporate</t>
  </si>
  <si>
    <t>Utensils</t>
  </si>
  <si>
    <t>63248dd1-fa83-4e0a-88d8-12f514cd1c57</t>
  </si>
  <si>
    <t>New York City</t>
  </si>
  <si>
    <t>New York</t>
  </si>
  <si>
    <t>8d38bb35-5e6c-47ce-9abc-dcec100ffac1</t>
  </si>
  <si>
    <t>Men</t>
  </si>
  <si>
    <t>c210dca6-1678-49ee-8147-1c0bc195b634</t>
  </si>
  <si>
    <t>601157cf-bed1-4387-8e9f-6cc0e604b01a</t>
  </si>
  <si>
    <t>Electronics</t>
  </si>
  <si>
    <t>Accessories</t>
  </si>
  <si>
    <t>330e9b4d-66ef-4be9-8087-09e2cabd3bfc</t>
  </si>
  <si>
    <t>Las Vegas</t>
  </si>
  <si>
    <t>ce239f97-00c8-4d01-b205-2e4f4e6b36cf</t>
  </si>
  <si>
    <t>Spokane</t>
  </si>
  <si>
    <t>Washington</t>
  </si>
  <si>
    <t>Appliances</t>
  </si>
  <si>
    <t>97f73b5b-a3d8-47a7-968b-ba373bfc1829</t>
  </si>
  <si>
    <t>381dec74-2170-4782-84e1-094fea5488a4</t>
  </si>
  <si>
    <t>Philadelphia</t>
  </si>
  <si>
    <t>Furniture</t>
  </si>
  <si>
    <t>22469804-7927-4c40-9099-64b33a420c30</t>
  </si>
  <si>
    <t>Vegetables</t>
  </si>
  <si>
    <t>67ade166-14be-43ff-a174-553090f1be8a</t>
  </si>
  <si>
    <t>Phones</t>
  </si>
  <si>
    <t>2db6b4ed-fdf8-4cd8-96f8-7cc22a16a41f</t>
  </si>
  <si>
    <t>b520d7f3-c95d-4fab-aaa7-7d9c4ee99438</t>
  </si>
  <si>
    <t>acbee483-ce16-4ed8-b345-4f71b6ba6043</t>
  </si>
  <si>
    <t>7c2d9e21-3403-4b9c-a482-1e260f079db8</t>
  </si>
  <si>
    <t>Kids</t>
  </si>
  <si>
    <t>50c4787f-75b1-409f-8743-03ebe69ae79b</t>
  </si>
  <si>
    <t>bfd24eac-8522-48a8-9262-04e9086e2f71</t>
  </si>
  <si>
    <t>60e4cde2-948a-4fb1-b03b-49186dc2c577</t>
  </si>
  <si>
    <t>Worcester</t>
  </si>
  <si>
    <t>Massachusetts</t>
  </si>
  <si>
    <t>141dc33f-d3a6-44d8-a53b-521835ae7e8d</t>
  </si>
  <si>
    <t>Buffalo</t>
  </si>
  <si>
    <t>7c5ecda8-1937-4947-9a32-b063984de1b3</t>
  </si>
  <si>
    <t>Orlando</t>
  </si>
  <si>
    <t>Florida</t>
  </si>
  <si>
    <t>ac38e434-19ba-4895-b002-3aa1e35a97e1</t>
  </si>
  <si>
    <t>2213dac2-3f7f-4d24-9efe-f830797798f1</t>
  </si>
  <si>
    <t>36d7723b-c845-485c-aa09-baad22ff12b4</t>
  </si>
  <si>
    <t>Savannah</t>
  </si>
  <si>
    <t>Georgia</t>
  </si>
  <si>
    <t>45952248-64d1-41db-889f-90c6cf918eab</t>
  </si>
  <si>
    <t>13d4c4ec-f409-47f5-b4aa-532fd3669a3f</t>
  </si>
  <si>
    <t>Seattle</t>
  </si>
  <si>
    <t>4ee90ded-123b-488b-8289-0c386af7618e</t>
  </si>
  <si>
    <t>3606f40f-60f7-4ef6-a282-5c6d8769e8fa</t>
  </si>
  <si>
    <t>Miami</t>
  </si>
  <si>
    <t>a54ea9b7-3d2d-4bef-90ff-9678bc5d1911</t>
  </si>
  <si>
    <t>ea9e12fd-16aa-4835-8648-e6557f43238d</t>
  </si>
  <si>
    <t>403fa0dc-6c8b-42eb-b7f9-6951bf21543b</t>
  </si>
  <si>
    <t>49f71648-d398-4635-9115-c3c404a1bb2a</t>
  </si>
  <si>
    <t>b8098016-cd29-444a-9786-92a67bcc7386</t>
  </si>
  <si>
    <t>Boston</t>
  </si>
  <si>
    <t>738783ec-f761-4d6e-bb06-1aae25b76e65</t>
  </si>
  <si>
    <t>ac470147-f1b0-4beb-8ee8-3d46b6ced0b0</t>
  </si>
  <si>
    <t>edcfc2b8-6f2f-431c-8ce7-6a227019aa1e</t>
  </si>
  <si>
    <t>5af22ce6-22ce-4f7b-b608-0839edfd9768</t>
  </si>
  <si>
    <t>a38465f6-b576-4f21-8825-b314a8d2c11d</t>
  </si>
  <si>
    <t>San Francisco</t>
  </si>
  <si>
    <t>California</t>
  </si>
  <si>
    <t>31ffac45-3a61-4315-9ee1-c13db0265fd1</t>
  </si>
  <si>
    <t>eef1838b-ce90-4bda-8305-8cbda1bcf31c</t>
  </si>
  <si>
    <t>f93b4130-9727-428d-9fda-e5f7b8d61707</t>
  </si>
  <si>
    <t>Raleigh</t>
  </si>
  <si>
    <t>ad0a6d65-418f-48df-9451-ee76331861ff</t>
  </si>
  <si>
    <t>d7440e5b-b58d-4fa3-8261-b914013ddb80</t>
  </si>
  <si>
    <t>8577306e-b7a4-46e8-87a8-ae9a83493cfa</t>
  </si>
  <si>
    <t>ca3d7aaa-a800-4d58-927e-6c81222e6765</t>
  </si>
  <si>
    <t>a6360dcc-97a5-4ced-9848-a6dc63d78e48</t>
  </si>
  <si>
    <t>Atlanta</t>
  </si>
  <si>
    <t>d07a15d7-9642-437a-9f90-877b4f76b614</t>
  </si>
  <si>
    <t>a7575e2d-89a5-4446-9c24-9a2000fb1a08</t>
  </si>
  <si>
    <t>1f37aace-09e4-4bf8-afa5-9cef507632e6</t>
  </si>
  <si>
    <t>0fb85d5d-3d49-4055-be55-16f38527acd7</t>
  </si>
  <si>
    <t>1e23c23a-ca8d-41c9-96c1-62be514b1821</t>
  </si>
  <si>
    <t>6c0797f5-ca55-49ae-8eb0-b1061c6bf22a</t>
  </si>
  <si>
    <t>b1cff26e-c97b-46be-945b-c9afffa8843e</t>
  </si>
  <si>
    <t>2cab8068-a961-4bd1-8227-e609644c2f02</t>
  </si>
  <si>
    <t>2cd80ff0-a487-410e-a6c1-0a4f462b001e</t>
  </si>
  <si>
    <t>9a6a776f-e0ca-47e0-8b4a-a4d542695077</t>
  </si>
  <si>
    <t>e481e52d-4fcb-465c-ac7f-16d6842368a9</t>
  </si>
  <si>
    <t>Detroit</t>
  </si>
  <si>
    <t>Michigan</t>
  </si>
  <si>
    <t>6d19a2aa-1df1-461b-9887-154875429de6</t>
  </si>
  <si>
    <t>4115d210-efc4-4d56-827d-2923c08194b8</t>
  </si>
  <si>
    <t>5f40ab5e-615d-4b2d-ab52-8d62ee2715fc</t>
  </si>
  <si>
    <t>94ce59c6-ec02-4764-b265-7a15eedd9722</t>
  </si>
  <si>
    <t>d68d6a41-775b-4fdc-a671-9dc7861e18ac</t>
  </si>
  <si>
    <t>d038f793-065c-4ee2-8ca9-ea54d4cc291b</t>
  </si>
  <si>
    <t>97a1ecbd-3501-4b26-b8be-70aad7f7517e</t>
  </si>
  <si>
    <t>a4ed01c9-0085-4919-90d4-f90f66a7c959</t>
  </si>
  <si>
    <t>636116ee-baf7-425b-9516-1c35c3828fdc</t>
  </si>
  <si>
    <t>705c88f0-3267-4e78-baf5-d5a2c2639659</t>
  </si>
  <si>
    <t>Los Angeles</t>
  </si>
  <si>
    <t>36201ca9-5071-4e2f-bf65-2855550f5a49</t>
  </si>
  <si>
    <t>600150c3-a1db-4d84-9c2e-a61650e92cfb</t>
  </si>
  <si>
    <t>81f57538-d6e8-4be3-aa1d-2590c5c253cf</t>
  </si>
  <si>
    <t>5d94d729-9dd8-4d48-bda8-0e4f23c08c2a</t>
  </si>
  <si>
    <t>70ffab94-7626-4ff4-872b-03b58a0e4936</t>
  </si>
  <si>
    <t>fb4a521b-85e1-4b48-b61c-1284da3d8328</t>
  </si>
  <si>
    <t>70569867-78e1-40dd-aba2-b49843c9cb3b</t>
  </si>
  <si>
    <t>a16eb7ec-8b57-41d3-934d-d7255ba58126</t>
  </si>
  <si>
    <t>2d64d230-deb0-416e-add3-30425abae02d</t>
  </si>
  <si>
    <t>934ea6d8-f6f8-40dd-8b77-c5c63366a268</t>
  </si>
  <si>
    <t>6fb7bdbc-425b-43e4-bcfd-d6dcc5d6a8c1</t>
  </si>
  <si>
    <t>552f881d-7203-41ae-a994-810a09032cd4</t>
  </si>
  <si>
    <t>1f67ab1f-1418-4e24-be09-98bf274f72a1</t>
  </si>
  <si>
    <t>8d886885-8f16-48c9-bc10-87f5f8add21f</t>
  </si>
  <si>
    <t>c5f7007c-a395-4b3b-8b3c-a74844ad360b</t>
  </si>
  <si>
    <t>d6b81aae-90eb-4620-9b20-279659abfd23</t>
  </si>
  <si>
    <t>1681bf39-de3c-4e02-a2eb-5e4667445d4e</t>
  </si>
  <si>
    <t>c73174f6-b771-4d0a-b223-f85c69b0b9bb</t>
  </si>
  <si>
    <t>d51b0d0d-abf5-4e64-9430-cc9a58d26c9f</t>
  </si>
  <si>
    <t>fb7eff62-5761-41c5-9090-934439cd80a0</t>
  </si>
  <si>
    <t>e48e7796-ee21-4b31-ab18-5072d165b0d5</t>
  </si>
  <si>
    <t>5d4068b2-fbc0-4b59-b05e-6ffbe73b3fea</t>
  </si>
  <si>
    <t>0c5ac849-2b94-409c-8f4c-05a3f894005c</t>
  </si>
  <si>
    <t>a2b86ed4-5250-4e88-963e-36b49c1eb97b</t>
  </si>
  <si>
    <t>f8a1a16d-d5eb-40b1-a1c5-a29cd0df39b1</t>
  </si>
  <si>
    <t>80410bde-5c97-48b0-98cd-94964ea0db5c</t>
  </si>
  <si>
    <t>bbd78977-5456-4b00-bc1d-e96a38641ddb</t>
  </si>
  <si>
    <t>70330abd-8202-4ea8-a834-eec7bc45f18a</t>
  </si>
  <si>
    <t>cb979bf5-e974-4b52-b406-596bd369bd72</t>
  </si>
  <si>
    <t>ab8034e3-126d-41af-9c73-7a46293e15b1</t>
  </si>
  <si>
    <t>9b01840e-6573-41aa-ad10-ee48775c0c7d</t>
  </si>
  <si>
    <t>67b073bf-42b0-4a2d-b641-98dc1b9b37ac</t>
  </si>
  <si>
    <t>7015c061-0ddf-4086-93a2-ff2d38b04856</t>
  </si>
  <si>
    <t>108a0115-0640-48b7-8614-dbb7b62d1907</t>
  </si>
  <si>
    <t>5c886a08-7091-4f0a-8093-285511f3597a</t>
  </si>
  <si>
    <t>cdfdd34d-ff09-4d70-a7a6-0ca9ae2e6973</t>
  </si>
  <si>
    <t>65000cec-9903-49e3-9d35-87dcf6ecdb6d</t>
  </si>
  <si>
    <t>65c445a3-ff5c-437d-9b4d-78d2993af1a8</t>
  </si>
  <si>
    <t>6ff7dbc0-467b-4700-9788-74f8a37b757f</t>
  </si>
  <si>
    <t>6b0512de-f295-47f1-a36f-bebac77f45ea</t>
  </si>
  <si>
    <t>41d11724-5ff1-43d6-970d-26134f64f476</t>
  </si>
  <si>
    <t>5b3b4171-dd3c-448c-a651-0ea2f6297bd5</t>
  </si>
  <si>
    <t>3a68e4c8-552c-4e20-8225-b48fa542b11c</t>
  </si>
  <si>
    <t>cbf4fbc9-2fc6-4a8c-971e-cb3601b7ab6c</t>
  </si>
  <si>
    <t>d784f573-7a5d-4e83-91c5-d84f4713486d</t>
  </si>
  <si>
    <t>b95fe5f0-6ed9-4222-ad38-b459ec3dbaf4</t>
  </si>
  <si>
    <t>9362e6e3-fa6f-4e9d-add5-5e839b637701</t>
  </si>
  <si>
    <t>63365da8-5ce0-414b-843d-4eaeabd9f3ec</t>
  </si>
  <si>
    <t>383521f7-f2e6-4b3a-9352-bd3f46f303ff</t>
  </si>
  <si>
    <t>c6612a0a-5b39-4f59-867b-1615da9af1d4</t>
  </si>
  <si>
    <t>79cdf609-f98a-4533-9988-b91ecde89c9b</t>
  </si>
  <si>
    <t>ba672295-8ee9-42e8-9d02-d0ed29e20dbd</t>
  </si>
  <si>
    <t>3c8d57c4-7a0f-4851-96dc-6fd48c7e9471</t>
  </si>
  <si>
    <t>fb96bed5-4bb3-47de-bc3d-3634df904158</t>
  </si>
  <si>
    <t>3d1faa5d-1a17-48a0-b0cd-b796f7a43e94</t>
  </si>
  <si>
    <t>319d98c2-8644-456d-ab41-b7c5a0b4a129</t>
  </si>
  <si>
    <t>2950d1d7-3843-4d2d-9828-3d7f5a687edb</t>
  </si>
  <si>
    <t>8f6ed459-fb6b-475c-b94f-8401e410f8f3</t>
  </si>
  <si>
    <t>bf43204d-be08-4be2-9ea0-2228f426e864</t>
  </si>
  <si>
    <t>85e205fb-8b15-4339-9d9e-61d35e00cfe6</t>
  </si>
  <si>
    <t>ab5d825f-1255-404d-86d1-0196684db9e0</t>
  </si>
  <si>
    <t>dc0b3f76-306c-44ee-aebd-7db2fb678e56</t>
  </si>
  <si>
    <t>ef99b525-54f8-4f0a-ad55-53633415f8b9</t>
  </si>
  <si>
    <t>f7ef9502-b8f5-45b9-b040-ff998ddc974f</t>
  </si>
  <si>
    <t>8d71d41d-0ee9-419d-9d1c-45fb5ac5ee12</t>
  </si>
  <si>
    <t>171a9e3f-1573-4359-ae51-4c0b8aa834ac</t>
  </si>
  <si>
    <t>d5b20cc0-95f1-4896-b6c2-0a51094aa97c</t>
  </si>
  <si>
    <t>4533ffea-abc6-48c7-b608-a9d315baa1a8</t>
  </si>
  <si>
    <t>518734e7-7a19-4b5a-86bb-62c6bb75c11f</t>
  </si>
  <si>
    <t>d6210474-3bba-4ff1-8ed3-9fee44961f30</t>
  </si>
  <si>
    <t>72acf13e-ab43-4b93-8269-89d1ec222a2c</t>
  </si>
  <si>
    <t>8f9abab9-2263-46e0-9f57-4710352583c2</t>
  </si>
  <si>
    <t>3b470028-c505-422c-8d64-e2b2c90b7cca</t>
  </si>
  <si>
    <t>d25f2af7-36e4-4836-aa42-efc810fd831d</t>
  </si>
  <si>
    <t>9cb55987-2eca-4d8c-9c3a-ac30f3e48c8b</t>
  </si>
  <si>
    <t>fd41a8ba-2df0-4f61-a489-05ea4fa90127</t>
  </si>
  <si>
    <t>92d50fe2-35bf-4a6f-8f4b-702fcb3c20bf</t>
  </si>
  <si>
    <t>172a386f-f926-4378-b811-4b6edba73cb9</t>
  </si>
  <si>
    <t>cdb862ea-f9e8-4cbc-ae89-292942248de2</t>
  </si>
  <si>
    <t>ee864381-172d-4c95-bd11-56dc09f9b071</t>
  </si>
  <si>
    <t>cf4d94fe-d9ad-469c-bde9-9cb25812646e</t>
  </si>
  <si>
    <t>98ef7c6a-1ae3-486b-a31b-55aab7459847</t>
  </si>
  <si>
    <t>09fbab3d-aa08-47a9-987e-d52a56c390c5</t>
  </si>
  <si>
    <t>Grand Rapids</t>
  </si>
  <si>
    <t>5da4409f-fd83-49e7-9bc8-c4e6bc00652a</t>
  </si>
  <si>
    <t>1257ecef-96f1-496a-a4d1-10ed997205b6</t>
  </si>
  <si>
    <t>8830bf9a-228e-4066-8da8-dac148517d64</t>
  </si>
  <si>
    <t>9c2911d1-c633-490d-b407-ed2dacb5af33</t>
  </si>
  <si>
    <t>af9dba48-44d0-4af8-8875-db970b19844b</t>
  </si>
  <si>
    <t>ddaa721b-d312-40ef-b991-4227bddbae56</t>
  </si>
  <si>
    <t>781857e3-acde-4420-96cc-ef641b781669</t>
  </si>
  <si>
    <t>a5a1b47c-b3e1-4234-bc4b-0dcaba3fec5a</t>
  </si>
  <si>
    <t>30125d10-8449-45cf-a8dd-bee4c70aed26</t>
  </si>
  <si>
    <t>79e20a3d-8bb9-45e9-9eb3-c5239f5bccd7</t>
  </si>
  <si>
    <t>ffe36f64-3243-4e54-a8c6-e4236fa00be4</t>
  </si>
  <si>
    <t>e170d051-956c-4d62-8422-d92130bbfb3d</t>
  </si>
  <si>
    <t>06185a0c-91da-4de0-8e88-4145615b8ba4</t>
  </si>
  <si>
    <t>b5384041-24af-4fae-bc5b-3db8f67875fe</t>
  </si>
  <si>
    <t>b594ae58-8b24-4096-b64f-d57e49789702</t>
  </si>
  <si>
    <t>258168d4-8cc2-4ce2-9f90-16b1eeee1a53</t>
  </si>
  <si>
    <t>62a85dfe-a40a-4c6b-89a4-487081d10848</t>
  </si>
  <si>
    <t>21581b06-4da9-47f0-9448-f26181f1685c</t>
  </si>
  <si>
    <t>e3051337-f555-4fc7-9391-5ff26b80b1a6</t>
  </si>
  <si>
    <t>7b923c97-47c2-462d-99bc-20751240574e</t>
  </si>
  <si>
    <t>423c9b71-5b80-4db4-a594-6c93deb4aaec</t>
  </si>
  <si>
    <t>5da6d496-0fde-4fb7-a480-ebe8d4ae55bf</t>
  </si>
  <si>
    <t>1b344f26-3795-4e88-a44f-d29bafab54c3</t>
  </si>
  <si>
    <t>60c2b78b-a351-4179-9598-b4dae1a25f63</t>
  </si>
  <si>
    <t>386700b1-b14b-47b5-a192-6f5cf5f235d2</t>
  </si>
  <si>
    <t>e84e0b8b-b883-4543-97fc-b141e5ee5f40</t>
  </si>
  <si>
    <t>78e5aa17-7426-40fd-a286-90f8ca919d9b</t>
  </si>
  <si>
    <t>d9e1790b-056e-4e47-a794-1eb87c5baeaa</t>
  </si>
  <si>
    <t>86adde82-3450-468a-a689-594b3a779a44</t>
  </si>
  <si>
    <t>f0f287d3-0f1e-4bd4-8423-570c0f6612da</t>
  </si>
  <si>
    <t>4065081e-7cb5-463b-9f1e-1743e712797f</t>
  </si>
  <si>
    <t>7a790c84-c77f-49e2-8401-9ae307a47807</t>
  </si>
  <si>
    <t>dcc72c08-8b2c-447f-a91a-2a411245abe3</t>
  </si>
  <si>
    <t>a4c138d1-fc41-4850-aa41-2e959541a592</t>
  </si>
  <si>
    <t>e0794470-53bc-463e-8c1e-bff41f267853</t>
  </si>
  <si>
    <t>c0d0f78a-2b6e-48f2-8e0f-e06d2582b709</t>
  </si>
  <si>
    <t>3136432f-913b-4bfe-a472-46dda0be7ec3</t>
  </si>
  <si>
    <t>d92a8342-947e-483d-8978-a2206e6b8187</t>
  </si>
  <si>
    <t>2e858b56-a1dc-463a-84f7-3e98dcc64321</t>
  </si>
  <si>
    <t>78657165-9ce6-48c8-aaa8-5a402172bc10</t>
  </si>
  <si>
    <t>0a90801b-6771-4dad-b830-d71ee247cf40</t>
  </si>
  <si>
    <t>6395e8ab-bc86-4320-8e08-fd1d349b6b05</t>
  </si>
  <si>
    <t>928e843e-fe04-4da1-aa0b-8691bef142c4</t>
  </si>
  <si>
    <t>eeb64807-48e0-44b6-beb8-5c1d74805af5</t>
  </si>
  <si>
    <t>0aed73be-2e85-49b2-8068-b5f0e69cc4dc</t>
  </si>
  <si>
    <t>b61b516e-b3e8-48b2-a501-aa5da93718f3</t>
  </si>
  <si>
    <t>0ac30b1e-cfc6-4c0c-94bc-e7ddc5e735e1</t>
  </si>
  <si>
    <t>e77e10c0-56f0-47e7-a13a-910ca7432587</t>
  </si>
  <si>
    <t>3ad0091f-847f-4328-bc70-c648e104cdf4</t>
  </si>
  <si>
    <t>afe3515d-897a-4a69-8086-18044fc1cc81</t>
  </si>
  <si>
    <t>d4e02d28-e6ce-4435-8d4a-794a6d1de03b</t>
  </si>
  <si>
    <t>d3891629-5834-4efb-b806-2ec6c25e4a98</t>
  </si>
  <si>
    <t>5920f956-46a4-4d13-9362-dc53fd9c75c2</t>
  </si>
  <si>
    <t>d744ec14-5d2a-4133-9cfb-0b820c93d18c</t>
  </si>
  <si>
    <t>f21b36c6-0f9b-4813-81cc-42bda6c3d0e2</t>
  </si>
  <si>
    <t>4a249172-f5ad-4bb9-b080-050ad380e83d</t>
  </si>
  <si>
    <t>1ab6e19b-fae3-4458-9d95-b8b23fbefe08</t>
  </si>
  <si>
    <t>6be6139b-a351-4676-97e9-16c705652f64</t>
  </si>
  <si>
    <t>2c17d46f-ee9f-4714-a3bd-c5648c19e6e6</t>
  </si>
  <si>
    <t>12d614f2-d810-420c-b221-d291376bd2b5</t>
  </si>
  <si>
    <t>1d8c4383-ee25-420b-887b-fcb8eabc6057</t>
  </si>
  <si>
    <t>d26c0853-c3c3-45ba-abcd-eed3b061ed59</t>
  </si>
  <si>
    <t>b115790e-65a6-4e94-8af6-33088cf35acb</t>
  </si>
  <si>
    <t>47c4afc1-fb74-4ce7-80bd-fba99a0c16af</t>
  </si>
  <si>
    <t>d7b41c4a-397f-4d8f-be10-ab3ada329a0d</t>
  </si>
  <si>
    <t>b2f7c7a9-6316-4ae8-8b8d-b4ba4f99039f</t>
  </si>
  <si>
    <t>fa4cdd75-fcfd-4068-a3b4-d5d76c63c99c</t>
  </si>
  <si>
    <t>284c7e98-791b-4650-9278-2dfc0f7a0e65</t>
  </si>
  <si>
    <t>ecac20ca-e16f-40fc-b341-4cdff5267048</t>
  </si>
  <si>
    <t>fb4950ad-bf21-45d3-a63c-a1535e9d6878</t>
  </si>
  <si>
    <t>cd40953d-8b09-4ed4-a43a-89a6f766b1c4</t>
  </si>
  <si>
    <t>3d4ff3b8-ad28-47f3-8634-7351b20f0320</t>
  </si>
  <si>
    <t>6b5985c2-2ac5-45e2-a27b-2237367a9d60</t>
  </si>
  <si>
    <t>a1653041-2aa2-479a-8d86-22f2923b9c95</t>
  </si>
  <si>
    <t>86ef9fa5-068d-4c70-830e-f140d8b44a93</t>
  </si>
  <si>
    <t>1e07d712-00c5-40f2-b384-ebe0becd71dd</t>
  </si>
  <si>
    <t>d346a7a2-f9ff-4531-a0ef-e4353c9698e4</t>
  </si>
  <si>
    <t>24e61366-25d3-4a0e-828c-6323c93ac48f</t>
  </si>
  <si>
    <t>d17a5a52-898a-459a-b253-dd88ec7d356c</t>
  </si>
  <si>
    <t>568efd5d-bd21-4642-8c6c-9245f4dae377</t>
  </si>
  <si>
    <t>0008309c-4fb8-4add-b5d5-25591327b5f9</t>
  </si>
  <si>
    <t>825f67f7-87c2-4842-88b5-45d6b20d4af2</t>
  </si>
  <si>
    <t>188aad0e-72ad-4510-9930-b549114549d2</t>
  </si>
  <si>
    <t>8e8cd785-d4c4-4c07-b006-6fb2d1426747</t>
  </si>
  <si>
    <t>772eeb50-c913-43c8-bcdb-06ceb6c7ccef</t>
  </si>
  <si>
    <t>95a537e4-5fe3-41f4-989d-f58239a8488c</t>
  </si>
  <si>
    <t>fbe3da2c-7cc1-452e-9743-13b95c81041f</t>
  </si>
  <si>
    <t>258c4a0b-3463-4985-b355-28fa0be95ea7</t>
  </si>
  <si>
    <t>6e0b62e8-c31a-4f1e-ab22-523c9edbcaf6</t>
  </si>
  <si>
    <t>e903ab9f-df35-4357-8bf7-24c65e3bea9f</t>
  </si>
  <si>
    <t>f94ba303-3e86-4226-a4ef-c9a4a781b398</t>
  </si>
  <si>
    <t>6cc00635-0619-4aae-a911-57a7caca725a</t>
  </si>
  <si>
    <t>e42a8ade-a18c-43df-a9b4-9661715bfd45</t>
  </si>
  <si>
    <t>c5cb109e-eb4d-4818-a67d-eb76abce84ea</t>
  </si>
  <si>
    <t>bbcee68b-11b3-480a-bf9f-16f5507a734f</t>
  </si>
  <si>
    <t>d12fc2c1-844d-43d8-a3e4-2fb9d78c035e</t>
  </si>
  <si>
    <t>e20656c5-c8b8-48ea-b6af-1d28a68ba7bf</t>
  </si>
  <si>
    <t>fa6996eb-e93d-41c3-98fc-706f984ec7ca</t>
  </si>
  <si>
    <t>babaebbb-d6c6-4a22-9bde-60b77edadda9</t>
  </si>
  <si>
    <t>623bd5c9-daee-4956-8f40-3d792d33c9c8</t>
  </si>
  <si>
    <t>a57dd366-1b6c-4afc-8196-8b90cb15fa0b</t>
  </si>
  <si>
    <t>3e22fd87-d64b-4c05-8d43-ca9cbaa26a9b</t>
  </si>
  <si>
    <t>a42d4131-4c88-41d1-8a3b-84687a95d89e</t>
  </si>
  <si>
    <t>374851c2-4281-47d7-8923-fcffb0fb692f</t>
  </si>
  <si>
    <t>45861bb5-533e-48f5-a533-aa7fbe0ef201</t>
  </si>
  <si>
    <t>32473b20-5b84-4888-b2a4-ed686eafc3d0</t>
  </si>
  <si>
    <t>3107cb27-317c-479d-a41a-361ebd14e045</t>
  </si>
  <si>
    <t>cda0bc24-b4bd-48cf-96f5-55085bf0eec1</t>
  </si>
  <si>
    <t>0f1a7361-bc9f-49a1-9596-0affe37f1842</t>
  </si>
  <si>
    <t>e2dd4dbd-0d5d-4dfe-9e95-78d8ea965a46</t>
  </si>
  <si>
    <t>fe0a5b76-eb4d-48e0-baff-0dcb58195b2b</t>
  </si>
  <si>
    <t>2a65b68f-3ef3-4caa-9973-d5b7504dcfb0</t>
  </si>
  <si>
    <t>befd52b6-3e35-40fa-99f1-0e82919a2143</t>
  </si>
  <si>
    <t>713c813c-d301-4e85-972a-6741c17e7dbb</t>
  </si>
  <si>
    <t>483e4136-191c-47c0-8733-577278a19ef5</t>
  </si>
  <si>
    <t>be57726b-e367-4534-87d7-975748eceb74</t>
  </si>
  <si>
    <t>e44ae5aa-88f2-45b9-9e4c-b61a4e702224</t>
  </si>
  <si>
    <t>0cf40063-9ae8-437c-ae08-519eeebf7431</t>
  </si>
  <si>
    <t>4cdef091-0ff1-4f86-abba-fccceefb9188</t>
  </si>
  <si>
    <t>a122404e-90dc-4efc-9ed3-aefa2bcc9030</t>
  </si>
  <si>
    <t>a32a2f07-2740-4f79-a298-d195fa8d1c36</t>
  </si>
  <si>
    <t>b10341aa-c14f-4627-848c-991f8f41121a</t>
  </si>
  <si>
    <t>130565be-3bc5-477b-9ddf-b9d50cd12a91</t>
  </si>
  <si>
    <t>57c9d034-bfa1-4e61-bec1-2f6b5888405c</t>
  </si>
  <si>
    <t>99221e55-4617-4718-b779-95cf98ea391e</t>
  </si>
  <si>
    <t>6993e2e4-b866-465c-a810-72ffada640a5</t>
  </si>
  <si>
    <t>7cac918c-733b-4107-88b0-b57508d5da16</t>
  </si>
  <si>
    <t>1d8a4d71-057a-4b52-a726-40c2b71041ef</t>
  </si>
  <si>
    <t>dfe11547-43c7-41e0-bf0d-4cf585f205fd</t>
  </si>
  <si>
    <t>7551b24d-a21d-4400-8881-3f40ef034ef1</t>
  </si>
  <si>
    <t>83a493e7-cee6-458d-98f7-6fe4d9e84b50</t>
  </si>
  <si>
    <t>40d28331-8c03-4415-b581-2abbfe0585f7</t>
  </si>
  <si>
    <t>92e82b75-27ef-42d4-a423-58d5328bb6b5</t>
  </si>
  <si>
    <t>e1a2901b-0043-4dd9-95a9-081849183ca4</t>
  </si>
  <si>
    <t>776a5068-2ee2-4faf-9f0f-a992886b6012</t>
  </si>
  <si>
    <t>b25cb85c-7ba7-4e91-9d98-9159035f1c46</t>
  </si>
  <si>
    <t>6e247ed9-16b3-403d-9191-e1c6bb47338f</t>
  </si>
  <si>
    <t>f06830c1-8775-4cfe-a061-d465cba662a9</t>
  </si>
  <si>
    <t>c4c12eef-0cc8-4fcc-8048-613bc0f5d4ae</t>
  </si>
  <si>
    <t>c8d59b84-43b5-4f48-b04b-b02185a3f913</t>
  </si>
  <si>
    <t>38303800-0b6b-4d79-bdc2-a513fbb4fe06</t>
  </si>
  <si>
    <t>3145b0c2-8eff-4dc3-859f-97485c669639</t>
  </si>
  <si>
    <t>f2c08b8a-fdf2-4ad7-9904-5128e3197506</t>
  </si>
  <si>
    <t>6f9321cb-6d95-42e6-a6ed-41a4d5af10d3</t>
  </si>
  <si>
    <t>ca2812c3-7448-4761-a869-6cd91a512866</t>
  </si>
  <si>
    <t>58f37dca-b682-4c57-8cf6-1287d2636c3c</t>
  </si>
  <si>
    <t>241c371f-c868-43a1-a49b-3b7c3830a215</t>
  </si>
  <si>
    <t>fdb53f87-72d5-47cf-a5a2-3c98f146a3e1</t>
  </si>
  <si>
    <t>0bbe34c6-3dce-47cb-abcf-3e7695ae88c7</t>
  </si>
  <si>
    <t>1d00abae-34ed-415b-bcda-f9820c0e9b20</t>
  </si>
  <si>
    <t>6979d45b-3b93-457a-bc6d-2b2d54655c56</t>
  </si>
  <si>
    <t>16346de8-f7aa-472c-86aa-96ec2dac24e4</t>
  </si>
  <si>
    <t>60c1dde4-79d5-45a5-8be5-311a74da0c0e</t>
  </si>
  <si>
    <t>6c1f3783-65fd-4ea4-adb3-2d3745ef326e</t>
  </si>
  <si>
    <t>03f41a5f-28e8-49da-b490-840fd957698a</t>
  </si>
  <si>
    <t>44987b6d-d84e-4010-8a24-c979153f14b2</t>
  </si>
  <si>
    <t>f4385292-a43f-41dd-b451-c98b3f662d36</t>
  </si>
  <si>
    <t>b70481f4-9b01-4edf-ad3f-3e0dbcc69c92</t>
  </si>
  <si>
    <t>515751e0-b55f-4491-8e17-1b426e63d54b</t>
  </si>
  <si>
    <t>4c4d7faa-5540-449a-bbcb-ba79bf343562</t>
  </si>
  <si>
    <t>e6ec4bf6-67be-4872-886d-bf27ffb8ede4</t>
  </si>
  <si>
    <t>e5b4161e-4559-4dd8-91bd-14afafc09e48</t>
  </si>
  <si>
    <t>56384eda-7368-4d87-887b-a22dbbe0b78b</t>
  </si>
  <si>
    <t>7833ce12-2f5a-4210-963d-6dc2f16fc02d</t>
  </si>
  <si>
    <t>88a6bc57-4f25-4442-a0fb-db91dafdc89a</t>
  </si>
  <si>
    <t>1e0a9901-a120-4d4a-abc3-737d3e841ece</t>
  </si>
  <si>
    <t>4daacb62-f24c-4e8b-99a6-9d92113910b4</t>
  </si>
  <si>
    <t>3ce92d9c-ad81-4309-8e48-375d722c1f33</t>
  </si>
  <si>
    <t>4388d965-15b0-4c00-8ab3-fac33960fb1e</t>
  </si>
  <si>
    <t>cc5fdda0-6a59-4f21-96be-98522369bfaa</t>
  </si>
  <si>
    <t>3a59ff6d-5eff-45ba-ac05-2c8e6fd7a9cb</t>
  </si>
  <si>
    <t>3cb171bd-6c65-48aa-804e-e5ccd090bf6e</t>
  </si>
  <si>
    <t>2d1fa704-c95c-47d0-9ee5-a45c301602ab</t>
  </si>
  <si>
    <t>2a2e8f00-b5a7-45fe-8997-ca862642251b</t>
  </si>
  <si>
    <t>ed0cb4d4-0e84-43f6-aa18-c7ddb0bbf236</t>
  </si>
  <si>
    <t>b560aec8-35e3-43f8-9ad2-7d9cb340847b</t>
  </si>
  <si>
    <t>73b261d4-5d75-429d-8f77-7bd5e5fd7f08</t>
  </si>
  <si>
    <t>f4c4981f-6736-4c96-81b6-85a5c45c2a4f</t>
  </si>
  <si>
    <t>2e572487-a67f-44d4-804f-0025c1bd9584</t>
  </si>
  <si>
    <t>2c18dff4-bfbd-40f5-a59e-8e6bcfa119c5</t>
  </si>
  <si>
    <t>9a790956-4652-48db-b0ab-a69f84a2f49a</t>
  </si>
  <si>
    <t>b56e0650-256e-4f34-b0f2-8ff8d749574b</t>
  </si>
  <si>
    <t>31d121af-0df6-44cf-8b89-10f540c67c6f</t>
  </si>
  <si>
    <t>1d852291-66d4-458a-8833-8f43ea8b3ada</t>
  </si>
  <si>
    <t>d3f472a6-1ca6-4e49-8f22-ab3289da38f5</t>
  </si>
  <si>
    <t>10a5beb8-e90b-406f-96be-7b00f0117b10</t>
  </si>
  <si>
    <t>5ef9f268-b191-438a-9def-ee935e0351ff</t>
  </si>
  <si>
    <t>937a4c9a-8080-47e7-995f-954268e1c16e</t>
  </si>
  <si>
    <t>8e1a2ed3-d59d-4031-ab2d-c29dbc2608ff</t>
  </si>
  <si>
    <t>94d4dd4c-ac4d-47c7-88b1-ac8f2c4ed2eb</t>
  </si>
  <si>
    <t>f9b020ba-fbd1-442e-9a1e-c30dc1c84835</t>
  </si>
  <si>
    <t>99257cd4-95d1-480d-8434-e3b0ebbb79de</t>
  </si>
  <si>
    <t>48a8bd77-9a78-417a-bfcf-76255d610cbb</t>
  </si>
  <si>
    <t>cb046b52-637c-42f3-abff-c3822e416b23</t>
  </si>
  <si>
    <t>240c21b3-4596-45ae-81cd-cd624f1f50d0</t>
  </si>
  <si>
    <t>d0bfd6c0-3a39-4268-bd35-1d1fff4c65a3</t>
  </si>
  <si>
    <t>78bc69d7-6175-4585-afcd-ef73dcc248da</t>
  </si>
  <si>
    <t>7164603e-7487-4b2a-ac6a-0ba1a7ec1fa1</t>
  </si>
  <si>
    <t>90b8d58a-092b-4461-8745-47d944ed6699</t>
  </si>
  <si>
    <t>47ba95f2-52cf-4b81-977a-87fa7ba01a9f</t>
  </si>
  <si>
    <t>ee3fd916-0503-437a-af9d-7341a8a04a3e</t>
  </si>
  <si>
    <t>0255e952-112a-4e79-8aff-5015eb345748</t>
  </si>
  <si>
    <t>39821cfd-b9d7-423f-b73a-7d446ed3d315</t>
  </si>
  <si>
    <t>bcaccb6a-69a3-4e57-9dc2-7ee33e2a0617</t>
  </si>
  <si>
    <t>dc724945-b0cc-4087-b516-89c8a84b7813</t>
  </si>
  <si>
    <t>63ac65ca-7bcd-485f-a7ce-e029cd83ee2b</t>
  </si>
  <si>
    <t>478eb40e-ce07-4b46-a545-e1171b8ce3c9</t>
  </si>
  <si>
    <t>e4157c95-de11-41cf-bd92-63a6f323fd0b</t>
  </si>
  <si>
    <t>853265ab-d7d6-4a78-b424-c9e975aa43dd</t>
  </si>
  <si>
    <t>c0bff02a-11f8-427b-a89d-65034021d80d</t>
  </si>
  <si>
    <t>28ca1c74-5d62-4251-8cf1-13fb95f9102a</t>
  </si>
  <si>
    <t>c933248f-3bad-4304-88a1-f9cc0a7a09fc</t>
  </si>
  <si>
    <t>007677b6-5d81-49b3-ab88-5bc056a69a1d</t>
  </si>
  <si>
    <t>1bc7d904-f4b9-4595-96b7-6e608f8d2249</t>
  </si>
  <si>
    <t>b80bff3f-9e07-45ff-95c6-c31b4f347d02</t>
  </si>
  <si>
    <t>b2805f7a-a3f7-46ea-acc4-9e33d980ef45</t>
  </si>
  <si>
    <t>38a7476f-df94-44a6-bf21-6d9835e82707</t>
  </si>
  <si>
    <t>91a91eff-3e4d-4e60-bb46-daaeb6d96acb</t>
  </si>
  <si>
    <t>a3491484-bb60-4f21-b4e6-b63e156e0120</t>
  </si>
  <si>
    <t>b5647417-23ee-45ca-b60b-617ebdcbfb47</t>
  </si>
  <si>
    <t>5f7d1567-7343-443a-a5f5-87dcb06e5e5d</t>
  </si>
  <si>
    <t>68db1465-5dc6-443b-a0dd-978c8cc845fb</t>
  </si>
  <si>
    <t>3ef902e2-9e28-42e1-ba32-1cc129e2f995</t>
  </si>
  <si>
    <t>bae924ef-f502-4c20-8778-7880f92dcce7</t>
  </si>
  <si>
    <t>2296acb8-c176-46a0-81da-32e2237c3ed8</t>
  </si>
  <si>
    <t>e87447ce-7760-4c95-b185-48fa848ba62e</t>
  </si>
  <si>
    <t>1ac14333-7486-483e-bddc-83100758e920</t>
  </si>
  <si>
    <t>e21612f6-43d1-4267-b582-8ab8c957f796</t>
  </si>
  <si>
    <t>adeda4cd-e303-4dd8-aac4-145fe6c3fb8b</t>
  </si>
  <si>
    <t>0eb4c1e1-8dd1-4590-ac58-29df11b9dec5</t>
  </si>
  <si>
    <t>5720ef1e-a346-48dc-a6da-84f6f1f064d1</t>
  </si>
  <si>
    <t>6c4ad675-54de-4a64-949b-ed5d2d0a7ab7</t>
  </si>
  <si>
    <t>8f7d844d-91b4-4f98-baf6-82e4f1551017</t>
  </si>
  <si>
    <t>94668d5d-7c17-4f86-a81a-286310d4961a</t>
  </si>
  <si>
    <t>c61f7765-04fa-43f1-85ec-4453794d9ee9</t>
  </si>
  <si>
    <t>9b3bb2a3-a56a-4bdc-96f5-fbba348d871f</t>
  </si>
  <si>
    <t>7e70902f-8dda-4483-90dc-e4f3db18a194</t>
  </si>
  <si>
    <t>73226bbb-531d-4849-91c3-fd33ae8e6143</t>
  </si>
  <si>
    <t>07082c8d-c449-44de-b1ac-f3207659aa93</t>
  </si>
  <si>
    <t>76bcf750-cb2e-4f72-99f9-6c7a1f788b02</t>
  </si>
  <si>
    <t>3c25357d-4c89-4824-bf9d-8cd31c616e0b</t>
  </si>
  <si>
    <t>b8d93e4f-6c68-48ef-836c-576236bf06e7</t>
  </si>
  <si>
    <t>54e47738-9fd7-489f-9031-c29c75c6181e</t>
  </si>
  <si>
    <t>a54e5ca0-e9fb-4430-9904-42126ad13fb0</t>
  </si>
  <si>
    <t>db189842-bb8c-4c43-a757-e9cb05cbcb70</t>
  </si>
  <si>
    <t>c8ac8156-3412-4981-a3fc-e9b92ff073dc</t>
  </si>
  <si>
    <t>1a48ca54-aadc-4616-8527-e73c7a91e042</t>
  </si>
  <si>
    <t>bf6bd0b3-ceaf-4b07-b207-7cc66addeb58</t>
  </si>
  <si>
    <t>ab5f2433-d334-416a-8cfb-ec6c8169f587</t>
  </si>
  <si>
    <t>fe230594-b50e-4f22-ac72-733d38c1c7eb</t>
  </si>
  <si>
    <t>4f7782e7-8b03-4325-9b41-feba5688c920</t>
  </si>
  <si>
    <t>505bb202-bd95-4433-bfd0-5af7c7869d1d</t>
  </si>
  <si>
    <t>39d0a348-5cbf-4771-a1df-6ef48d22840e</t>
  </si>
  <si>
    <t>689699ef-502c-4e74-8b9d-b3005e115134</t>
  </si>
  <si>
    <t>9d1312ef-c342-4e1e-b9f8-38cb12f9e479</t>
  </si>
  <si>
    <t>11cf1545-ec94-41dd-8473-9e2676ee7ec8</t>
  </si>
  <si>
    <t>280ae7a9-4697-4807-bce3-bc35bb5d4d4c</t>
  </si>
  <si>
    <t>9758e9eb-de88-4379-aad8-b1e8246219bc</t>
  </si>
  <si>
    <t>47d8811b-d0dd-47a3-bab4-64e02074865b</t>
  </si>
  <si>
    <t>7e83c0aa-e044-424f-a06c-f5644b3a1aa9</t>
  </si>
  <si>
    <t>acdb15f5-a975-4c9f-95d1-60472dcb4995</t>
  </si>
  <si>
    <t>64d84de5-271e-4b6a-9e5c-40555bdb5317</t>
  </si>
  <si>
    <t>41c97939-ccc4-4ffb-b061-b3c651171278</t>
  </si>
  <si>
    <t>efc91595-97ea-4324-a332-bf8cc0eb7436</t>
  </si>
  <si>
    <t>29f3e1f0-6ca5-4135-ac21-0deaf043b343</t>
  </si>
  <si>
    <t>fde5bb15-4f09-46f6-8d3e-6ea771bc7772</t>
  </si>
  <si>
    <t>691dffe5-1214-458e-8608-e78dc08d0a95</t>
  </si>
  <si>
    <t>3aafef9d-fc3f-4d59-b4c6-c5f39aaf615a</t>
  </si>
  <si>
    <t>208b14ef-d556-4e47-aa84-0088ec6f5e31</t>
  </si>
  <si>
    <t>358c502f-6570-4d59-b32b-43896483ade7</t>
  </si>
  <si>
    <t>f7b9fae8-06c9-4aff-9bd7-e5cbb9ccb9c7</t>
  </si>
  <si>
    <t>ba661ddc-bd29-47fc-8b79-7fd4fd488404</t>
  </si>
  <si>
    <t>7e37bd30-f791-40ae-8330-25bd3ee76c00</t>
  </si>
  <si>
    <t>7029da5c-bc7d-4314-abc3-dbc0cbe7da6e</t>
  </si>
  <si>
    <t>bcaf081a-77d1-49c9-8ca8-c4f39970b421</t>
  </si>
  <si>
    <t>b82c9acc-b72c-4d2e-bf9d-f0a066abe401</t>
  </si>
  <si>
    <t>c58ac41e-23fc-447a-81be-e6d84691d535</t>
  </si>
  <si>
    <t>a38616aa-ae4f-436e-8e42-ef4a980061b3</t>
  </si>
  <si>
    <t>1bdafb8b-ae2c-415f-a0d2-8ffef9e624a9</t>
  </si>
  <si>
    <t>09c694e6-16c5-425b-ab7e-d8abfaaa6284</t>
  </si>
  <si>
    <t>da44e216-098d-434c-b678-ba69a738d8a8</t>
  </si>
  <si>
    <t>5cc2874f-3dbc-4944-8552-6c34bc9982a7</t>
  </si>
  <si>
    <t>4e33f761-f9b9-4b65-8348-55e71796f519</t>
  </si>
  <si>
    <t>a471797a-fcb5-4c3d-84e4-79a80526be2a</t>
  </si>
  <si>
    <t>827d2eb9-973f-4d46-b02e-8f1bc9fcd5da</t>
  </si>
  <si>
    <t>c465e8d6-4273-4b2e-90f4-cf71f2fdf84f</t>
  </si>
  <si>
    <t>e1132b26-ac14-475a-ae80-b1967a76adff</t>
  </si>
  <si>
    <t>e67bc32e-5b8c-409e-a11a-49202e149def</t>
  </si>
  <si>
    <t>89aba6ec-e7d4-47a7-af83-fb6222d1cbbf</t>
  </si>
  <si>
    <t>ee39616b-c0dd-4c5d-aeb4-a21b1f1fe8be</t>
  </si>
  <si>
    <t>26c81943-9b26-4961-9a4d-d626c168fa10</t>
  </si>
  <si>
    <t>fa9872f8-7e9d-4425-bec7-3f3dca96cbcc</t>
  </si>
  <si>
    <t>b7695f24-d040-4aa0-b1d2-8f6a4a5f2f6e</t>
  </si>
  <si>
    <t>79e2439d-8090-4571-92f0-f0b75c4ea035</t>
  </si>
  <si>
    <t>54ef1f0a-cc1f-4140-867c-3828ca7a5758</t>
  </si>
  <si>
    <t>51ef7865-14b9-4393-b3b8-9b0869f864db</t>
  </si>
  <si>
    <t>c91b30e8-e013-4b82-ada7-e1c3f7a6a2f8</t>
  </si>
  <si>
    <t>53d53ec6-95a3-4dae-ab42-32969ea1ce69</t>
  </si>
  <si>
    <t>7ddf409c-9c77-4a6f-8667-6e5aadaf7594</t>
  </si>
  <si>
    <t>cf63a112-0443-495e-b68b-20c0f520cbba</t>
  </si>
  <si>
    <t>0448f447-5d5b-41c0-9299-51a8f127d9a7</t>
  </si>
  <si>
    <t>9609c615-0d3e-4596-a76a-d081ef467e70</t>
  </si>
  <si>
    <t>f743155d-aa2f-4d3e-8987-e1cc8905c8a1</t>
  </si>
  <si>
    <t>4ed72331-8336-40cd-84ab-1cdc4a8a7cc0</t>
  </si>
  <si>
    <t>4a63fd70-a843-400b-8350-44e6dea30d62</t>
  </si>
  <si>
    <t>19dd5136-4ec1-46dd-8b3d-329d7231fe67</t>
  </si>
  <si>
    <t>c432c2b8-1ddf-49e6-95cc-8e76e555be99</t>
  </si>
  <si>
    <t>80ce44f9-1b24-4fa7-96dc-3c5f10763991</t>
  </si>
  <si>
    <t>a5d4e198-9b55-41ae-808c-b08ec4b5c4d8</t>
  </si>
  <si>
    <t>a5a08952-c6fa-4837-82ea-2a1980754318</t>
  </si>
  <si>
    <t>24ea357d-9d10-456e-9607-cf02570780ab</t>
  </si>
  <si>
    <t>786c408b-bc5a-4eec-8826-f124a2943830</t>
  </si>
  <si>
    <t>6b913e67-c0a9-4ee1-9e54-bcbdd30cfc19</t>
  </si>
  <si>
    <t>7bbbda89-ee77-43d8-9957-b9495af13db5</t>
  </si>
  <si>
    <t>72cdac67-4f2d-491d-9684-70093b92f687</t>
  </si>
  <si>
    <t>b0633e2f-c936-4612-a8e5-8440af95ebe4</t>
  </si>
  <si>
    <t>a262879c-8ba5-487c-81ed-3c38cb1a4d22</t>
  </si>
  <si>
    <t>29a52549-16ea-4605-ba46-b7ccbc5b9727</t>
  </si>
  <si>
    <t>f3873cdd-8399-4788-ad4d-c9e227fbe096</t>
  </si>
  <si>
    <t>f4a57921-7ebf-446d-9de0-4d6524263667</t>
  </si>
  <si>
    <t>0b974073-eabd-468d-95c1-3720ca96fa47</t>
  </si>
  <si>
    <t>816e0238-4785-4829-a59a-47591b8aced9</t>
  </si>
  <si>
    <t>61735c84-fe78-44f2-b68d-91c56ba8c0ac</t>
  </si>
  <si>
    <t>838197e9-aa90-42fe-8c54-cecfed634f8b</t>
  </si>
  <si>
    <t>9a761895-4fbc-4f31-a946-78b7ec1b24ef</t>
  </si>
  <si>
    <t>babf1638-2967-40c2-8301-12146a5b8a29</t>
  </si>
  <si>
    <t>0de707c1-d6ca-4942-8836-6363f9b00548</t>
  </si>
  <si>
    <t>9a964b08-5f51-4a02-b4a9-df365c2ddd61</t>
  </si>
  <si>
    <t>f852f017-3401-4b8c-90cc-9287f7f0548c</t>
  </si>
  <si>
    <t>b7cb19c1-fcc5-4124-bbfa-db3e281337f7</t>
  </si>
  <si>
    <t>d12c5da5-1d5c-4de2-83b2-c016fb82aafa</t>
  </si>
  <si>
    <t>a0a6cc99-9fbf-4f47-8531-b8fbb2a9d964</t>
  </si>
  <si>
    <t>17483a20-08d3-4055-a97a-408b6c54dbf9</t>
  </si>
  <si>
    <t>4bc58c94-9962-4991-a6e2-dd312e0482c8</t>
  </si>
  <si>
    <t>d6c63265-baac-45e5-988f-707f4c3e8eb2</t>
  </si>
  <si>
    <t>790c2468-5337-48ef-a434-4219d942fe64</t>
  </si>
  <si>
    <t>b7b95cac-6c86-422e-b89b-b8f6c7af8662</t>
  </si>
  <si>
    <t>af1faad7-9066-4564-86ae-200f96f25d91</t>
  </si>
  <si>
    <t>4e7ef6df-1be3-43ce-81cf-94ef83b87b77</t>
  </si>
  <si>
    <t>afc9caed-8aa4-48ca-a7d7-47c0d9e79cf7</t>
  </si>
  <si>
    <t>d8d59c39-ceae-457c-95a5-1ea7e874f190</t>
  </si>
  <si>
    <t>263c24a4-8d7f-4d9a-b342-9f0ae0e8f0d4</t>
  </si>
  <si>
    <t>f7f51cea-5748-46bf-a541-a8e36ab60266</t>
  </si>
  <si>
    <t>fcfac431-299e-4a32-8381-e0b29205f900</t>
  </si>
  <si>
    <t>5a127b3e-adc9-4e60-a977-06830bd02316</t>
  </si>
  <si>
    <t>Sum of Sales</t>
  </si>
  <si>
    <t>Average of Sales2</t>
  </si>
  <si>
    <t>Average of Discount</t>
  </si>
  <si>
    <t>Sum of Profit</t>
  </si>
  <si>
    <t>Row Labels</t>
  </si>
  <si>
    <t>Grand Total</t>
  </si>
  <si>
    <t>Column Labels</t>
  </si>
  <si>
    <t>2024</t>
  </si>
  <si>
    <t>2025</t>
  </si>
  <si>
    <t>Jun</t>
  </si>
  <si>
    <t>Jul</t>
  </si>
  <si>
    <t>Aug</t>
  </si>
  <si>
    <t>Sep</t>
  </si>
  <si>
    <t>Oct</t>
  </si>
  <si>
    <t>Nov</t>
  </si>
  <si>
    <t>Dec</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</si>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</sst>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_([$$-409]* \(#,##0.00\);_([$$-409]* &quot;-&quot;??_);_(@_)"/>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11" fontId="0" fillId="0" borderId="0" xfId="0" applyNumberFormat="1"/>
    <xf numFmtId="164" fontId="0" fillId="0" borderId="0" xfId="0" applyNumberFormat="1"/>
    <xf numFmtId="0" fontId="0" fillId="0" borderId="0" xfId="0" pivotButton="1"/>
    <xf numFmtId="10" fontId="0" fillId="0" borderId="0" xfId="42" applyNumberFormat="1" applyFont="1"/>
    <xf numFmtId="164" fontId="0" fillId="0" borderId="0" xfId="0" applyNumberFormat="1" applyAlignment="1"/>
    <xf numFmtId="10" fontId="0" fillId="0" borderId="0" xfId="0" applyNumberFormat="1" applyAlignment="1"/>
    <xf numFmtId="0" fontId="0" fillId="0" borderId="0" xfId="0" applyAlignment="1"/>
    <xf numFmtId="10" fontId="0" fillId="0" borderId="0" xfId="42" applyNumberFormat="1" applyFont="1" applyAlignment="1"/>
    <xf numFmtId="0" fontId="0" fillId="0" borderId="0" xfId="0" applyAlignment="1">
      <alignment horizontal="left"/>
    </xf>
    <xf numFmtId="0" fontId="0" fillId="0" borderId="0" xfId="0" applyAlignment="1">
      <alignment horizontal="left" indent="1"/>
    </xf>
    <xf numFmtId="0" fontId="0" fillId="0" borderId="0" xfId="0" pivotButton="1" applyAlignment="1">
      <alignment horizontal="center"/>
    </xf>
    <xf numFmtId="164" fontId="0" fillId="0" borderId="0" xfId="0" applyNumberForma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81">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4" formatCode="0.00%"/>
    </dxf>
    <dxf>
      <numFmt numFmtId="14" formatCode="0.00%"/>
    </dxf>
    <dxf>
      <alignment wrapText="0"/>
    </dxf>
    <dxf>
      <alignment wrapText="0"/>
    </dxf>
    <dxf>
      <alignment wrapText="0"/>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4" formatCode="0.00%"/>
    </dxf>
    <dxf>
      <numFmt numFmtId="14" formatCode="0.00%"/>
    </dxf>
    <dxf>
      <alignment wrapText="0"/>
    </dxf>
    <dxf>
      <alignment wrapText="0"/>
    </dxf>
    <dxf>
      <alignment wrapText="0"/>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4" formatCode="0.00%"/>
    </dxf>
    <dxf>
      <numFmt numFmtId="14" formatCode="0.00%"/>
    </dxf>
    <dxf>
      <alignment wrapText="0"/>
    </dxf>
    <dxf>
      <alignment wrapText="0"/>
    </dxf>
    <dxf>
      <alignment wrapText="0"/>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4" formatCode="0.00%"/>
    </dxf>
    <dxf>
      <numFmt numFmtId="14" formatCode="0.00%"/>
    </dxf>
    <dxf>
      <alignment wrapText="0"/>
    </dxf>
    <dxf>
      <alignment wrapText="0"/>
    </dxf>
    <dxf>
      <alignment wrapText="0"/>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4" formatCode="0.00%"/>
    </dxf>
    <dxf>
      <numFmt numFmtId="14" formatCode="0.00%"/>
    </dxf>
    <dxf>
      <alignment wrapText="0"/>
    </dxf>
    <dxf>
      <alignment wrapText="0"/>
    </dxf>
    <dxf>
      <alignment wrapText="0"/>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4" formatCode="0.00%"/>
    </dxf>
    <dxf>
      <numFmt numFmtId="14" formatCode="0.00%"/>
    </dxf>
    <dxf>
      <alignment wrapText="0"/>
    </dxf>
    <dxf>
      <alignment wrapText="0"/>
    </dxf>
    <dxf>
      <alignment wrapText="0"/>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4" formatCode="0.00%"/>
    </dxf>
    <dxf>
      <numFmt numFmtId="14" formatCode="0.00%"/>
    </dxf>
    <dxf>
      <alignment wrapText="0"/>
    </dxf>
    <dxf>
      <alignment wrapText="0"/>
    </dxf>
    <dxf>
      <alignment wrapText="0"/>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font>
        <b/>
        <color theme="1"/>
      </font>
      <border diagonalUp="0" diagonalDown="0">
        <left/>
        <right/>
        <top/>
        <bottom/>
        <vertical/>
        <horizontal/>
      </border>
    </dxf>
    <dxf>
      <font>
        <color theme="1"/>
      </font>
      <fill>
        <patternFill>
          <bgColor rgb="FFFF9300"/>
        </patternFill>
      </fill>
      <border diagonalUp="0" diagonalDown="0">
        <left/>
        <right/>
        <top/>
        <bottom/>
        <vertical/>
        <horizontal/>
      </border>
    </dxf>
    <dxf>
      <numFmt numFmtId="165" formatCode="m/d/yyyy"/>
    </dxf>
  </dxfs>
  <tableStyles count="1" defaultTableStyle="TableStyleMedium2" defaultPivotStyle="PivotStyleLight16">
    <tableStyle name="SlicerStyleLight1 2" pivot="0" table="0" count="10" xr9:uid="{DD9AC683-C089-F34A-9097-05885A5B99A3}">
      <tableStyleElement type="wholeTable" dxfId="179"/>
      <tableStyleElement type="headerRow" dxfId="178"/>
    </tableStyle>
  </tableStyles>
  <colors>
    <mruColors>
      <color rgb="FFFFE4E5"/>
      <color rgb="FFF6E7E8"/>
      <color rgb="FF0432FF"/>
      <color rgb="FFFFB09D"/>
      <color rgb="FFFED8AB"/>
      <color rgb="FFFFCB63"/>
      <color rgb="FF845D34"/>
      <color rgb="FF00E0E3"/>
      <color rgb="FFFF9300"/>
      <color rgb="FF00FD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432F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by Store!PivotTable2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Store'!$C$2</c:f>
              <c:strCache>
                <c:ptCount val="1"/>
                <c:pt idx="0">
                  <c:v>Total</c:v>
                </c:pt>
              </c:strCache>
            </c:strRef>
          </c:tx>
          <c:spPr>
            <a:solidFill>
              <a:srgbClr val="0432FF"/>
            </a:solidFill>
            <a:ln>
              <a:noFill/>
            </a:ln>
            <a:effectLst/>
          </c:spPr>
          <c:invertIfNegative val="0"/>
          <c:cat>
            <c:strRef>
              <c:f>'Sales by Store'!$B$3:$B$7</c:f>
              <c:strCache>
                <c:ptCount val="5"/>
                <c:pt idx="0">
                  <c:v>ValueHub</c:v>
                </c:pt>
                <c:pt idx="1">
                  <c:v>Urban Mart</c:v>
                </c:pt>
                <c:pt idx="2">
                  <c:v>ShopEase</c:v>
                </c:pt>
                <c:pt idx="3">
                  <c:v>QuickBuy</c:v>
                </c:pt>
                <c:pt idx="4">
                  <c:v>Metro Store</c:v>
                </c:pt>
              </c:strCache>
            </c:strRef>
          </c:cat>
          <c:val>
            <c:numRef>
              <c:f>'Sales by Store'!$C$3:$C$7</c:f>
              <c:numCache>
                <c:formatCode>_([$$-409]* #,##0.00_);_([$$-409]* \(#,##0.00\);_([$$-409]* "-"??_);_(@_)</c:formatCode>
                <c:ptCount val="5"/>
                <c:pt idx="0">
                  <c:v>80992.089999999982</c:v>
                </c:pt>
                <c:pt idx="1">
                  <c:v>96321.530000000028</c:v>
                </c:pt>
                <c:pt idx="2">
                  <c:v>79167.41</c:v>
                </c:pt>
                <c:pt idx="3">
                  <c:v>97348.99000000002</c:v>
                </c:pt>
                <c:pt idx="4">
                  <c:v>86954.549999999988</c:v>
                </c:pt>
              </c:numCache>
            </c:numRef>
          </c:val>
          <c:extLst>
            <c:ext xmlns:c16="http://schemas.microsoft.com/office/drawing/2014/chart" uri="{C3380CC4-5D6E-409C-BE32-E72D297353CC}">
              <c16:uniqueId val="{00000000-6CEE-1B49-91E8-D4E6EB6B2D76}"/>
            </c:ext>
          </c:extLst>
        </c:ser>
        <c:dLbls>
          <c:showLegendKey val="0"/>
          <c:showVal val="0"/>
          <c:showCatName val="0"/>
          <c:showSerName val="0"/>
          <c:showPercent val="0"/>
          <c:showBubbleSize val="0"/>
        </c:dLbls>
        <c:gapWidth val="100"/>
        <c:overlap val="-27"/>
        <c:axId val="444514703"/>
        <c:axId val="444191055"/>
      </c:barChart>
      <c:catAx>
        <c:axId val="44451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91055"/>
        <c:crosses val="autoZero"/>
        <c:auto val="1"/>
        <c:lblAlgn val="ctr"/>
        <c:lblOffset val="100"/>
        <c:noMultiLvlLbl val="0"/>
      </c:catAx>
      <c:valAx>
        <c:axId val="44419105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project.xlsx]Profit by State!PivotTable3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by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E0E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45D3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E0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45D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E0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45D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State'!$C$2:$C$3</c:f>
              <c:strCache>
                <c:ptCount val="1"/>
                <c:pt idx="0">
                  <c:v>Clothing</c:v>
                </c:pt>
              </c:strCache>
            </c:strRef>
          </c:tx>
          <c:spPr>
            <a:solidFill>
              <a:srgbClr val="0432FF"/>
            </a:solidFill>
            <a:ln>
              <a:noFill/>
            </a:ln>
            <a:effectLst/>
          </c:spPr>
          <c:invertIfNegative val="0"/>
          <c:cat>
            <c:strRef>
              <c:f>'Profit by State'!$B$4:$B$15</c:f>
              <c:strCache>
                <c:ptCount val="12"/>
                <c:pt idx="0">
                  <c:v>Washington</c:v>
                </c:pt>
                <c:pt idx="1">
                  <c:v>Texas</c:v>
                </c:pt>
                <c:pt idx="2">
                  <c:v>Pennsylvania</c:v>
                </c:pt>
                <c:pt idx="3">
                  <c:v>North Carolina</c:v>
                </c:pt>
                <c:pt idx="4">
                  <c:v>New York</c:v>
                </c:pt>
                <c:pt idx="5">
                  <c:v>Nevada</c:v>
                </c:pt>
                <c:pt idx="6">
                  <c:v>Michigan</c:v>
                </c:pt>
                <c:pt idx="7">
                  <c:v>Massachusetts</c:v>
                </c:pt>
                <c:pt idx="8">
                  <c:v>Illinois</c:v>
                </c:pt>
                <c:pt idx="9">
                  <c:v>Georgia</c:v>
                </c:pt>
                <c:pt idx="10">
                  <c:v>Florida</c:v>
                </c:pt>
                <c:pt idx="11">
                  <c:v>California</c:v>
                </c:pt>
              </c:strCache>
            </c:strRef>
          </c:cat>
          <c:val>
            <c:numRef>
              <c:f>'Profit by State'!$C$4:$C$15</c:f>
              <c:numCache>
                <c:formatCode>_([$$-409]* #,##0.00_);_([$$-409]* \(#,##0.00\);_([$$-409]* "-"??_);_(@_)</c:formatCode>
                <c:ptCount val="12"/>
                <c:pt idx="0">
                  <c:v>785.56999999999994</c:v>
                </c:pt>
                <c:pt idx="1">
                  <c:v>46.62</c:v>
                </c:pt>
                <c:pt idx="2">
                  <c:v>3085.83</c:v>
                </c:pt>
                <c:pt idx="3">
                  <c:v>1080.01</c:v>
                </c:pt>
                <c:pt idx="4">
                  <c:v>2690.91</c:v>
                </c:pt>
                <c:pt idx="5">
                  <c:v>2589.8500000000004</c:v>
                </c:pt>
                <c:pt idx="6">
                  <c:v>284.81</c:v>
                </c:pt>
                <c:pt idx="7">
                  <c:v>1852.6399999999999</c:v>
                </c:pt>
                <c:pt idx="8">
                  <c:v>3167.8900000000003</c:v>
                </c:pt>
                <c:pt idx="9">
                  <c:v>796.64</c:v>
                </c:pt>
                <c:pt idx="10">
                  <c:v>2629.92</c:v>
                </c:pt>
                <c:pt idx="11">
                  <c:v>913.54</c:v>
                </c:pt>
              </c:numCache>
            </c:numRef>
          </c:val>
          <c:extLst>
            <c:ext xmlns:c16="http://schemas.microsoft.com/office/drawing/2014/chart" uri="{C3380CC4-5D6E-409C-BE32-E72D297353CC}">
              <c16:uniqueId val="{00000000-495C-8E48-9B5C-E6498A8492FF}"/>
            </c:ext>
          </c:extLst>
        </c:ser>
        <c:ser>
          <c:idx val="1"/>
          <c:order val="1"/>
          <c:tx>
            <c:strRef>
              <c:f>'Profit by State'!$D$2:$D$3</c:f>
              <c:strCache>
                <c:ptCount val="1"/>
                <c:pt idx="0">
                  <c:v>Electronics</c:v>
                </c:pt>
              </c:strCache>
            </c:strRef>
          </c:tx>
          <c:spPr>
            <a:solidFill>
              <a:schemeClr val="accent2"/>
            </a:solidFill>
            <a:ln>
              <a:noFill/>
            </a:ln>
            <a:effectLst/>
          </c:spPr>
          <c:invertIfNegative val="0"/>
          <c:cat>
            <c:strRef>
              <c:f>'Profit by State'!$B$4:$B$15</c:f>
              <c:strCache>
                <c:ptCount val="12"/>
                <c:pt idx="0">
                  <c:v>Washington</c:v>
                </c:pt>
                <c:pt idx="1">
                  <c:v>Texas</c:v>
                </c:pt>
                <c:pt idx="2">
                  <c:v>Pennsylvania</c:v>
                </c:pt>
                <c:pt idx="3">
                  <c:v>North Carolina</c:v>
                </c:pt>
                <c:pt idx="4">
                  <c:v>New York</c:v>
                </c:pt>
                <c:pt idx="5">
                  <c:v>Nevada</c:v>
                </c:pt>
                <c:pt idx="6">
                  <c:v>Michigan</c:v>
                </c:pt>
                <c:pt idx="7">
                  <c:v>Massachusetts</c:v>
                </c:pt>
                <c:pt idx="8">
                  <c:v>Illinois</c:v>
                </c:pt>
                <c:pt idx="9">
                  <c:v>Georgia</c:v>
                </c:pt>
                <c:pt idx="10">
                  <c:v>Florida</c:v>
                </c:pt>
                <c:pt idx="11">
                  <c:v>California</c:v>
                </c:pt>
              </c:strCache>
            </c:strRef>
          </c:cat>
          <c:val>
            <c:numRef>
              <c:f>'Profit by State'!$D$4:$D$15</c:f>
              <c:numCache>
                <c:formatCode>_([$$-409]* #,##0.00_);_([$$-409]* \(#,##0.00\);_([$$-409]* "-"??_);_(@_)</c:formatCode>
                <c:ptCount val="12"/>
                <c:pt idx="1">
                  <c:v>390.52</c:v>
                </c:pt>
                <c:pt idx="3">
                  <c:v>1277.1099999999999</c:v>
                </c:pt>
                <c:pt idx="4">
                  <c:v>296.83999999999997</c:v>
                </c:pt>
                <c:pt idx="5">
                  <c:v>2500.65</c:v>
                </c:pt>
                <c:pt idx="6">
                  <c:v>1650.92</c:v>
                </c:pt>
                <c:pt idx="7">
                  <c:v>441.17</c:v>
                </c:pt>
                <c:pt idx="8">
                  <c:v>1042.69</c:v>
                </c:pt>
                <c:pt idx="9">
                  <c:v>830.93000000000006</c:v>
                </c:pt>
                <c:pt idx="10">
                  <c:v>1705.35</c:v>
                </c:pt>
                <c:pt idx="11">
                  <c:v>1513.97</c:v>
                </c:pt>
              </c:numCache>
            </c:numRef>
          </c:val>
          <c:extLst>
            <c:ext xmlns:c16="http://schemas.microsoft.com/office/drawing/2014/chart" uri="{C3380CC4-5D6E-409C-BE32-E72D297353CC}">
              <c16:uniqueId val="{00000001-495C-8E48-9B5C-E6498A8492FF}"/>
            </c:ext>
          </c:extLst>
        </c:ser>
        <c:ser>
          <c:idx val="2"/>
          <c:order val="2"/>
          <c:tx>
            <c:strRef>
              <c:f>'Profit by State'!$E$2:$E$3</c:f>
              <c:strCache>
                <c:ptCount val="1"/>
                <c:pt idx="0">
                  <c:v>Groceries</c:v>
                </c:pt>
              </c:strCache>
            </c:strRef>
          </c:tx>
          <c:spPr>
            <a:solidFill>
              <a:srgbClr val="00E0E3"/>
            </a:solidFill>
            <a:ln>
              <a:noFill/>
            </a:ln>
            <a:effectLst/>
          </c:spPr>
          <c:invertIfNegative val="0"/>
          <c:cat>
            <c:strRef>
              <c:f>'Profit by State'!$B$4:$B$15</c:f>
              <c:strCache>
                <c:ptCount val="12"/>
                <c:pt idx="0">
                  <c:v>Washington</c:v>
                </c:pt>
                <c:pt idx="1">
                  <c:v>Texas</c:v>
                </c:pt>
                <c:pt idx="2">
                  <c:v>Pennsylvania</c:v>
                </c:pt>
                <c:pt idx="3">
                  <c:v>North Carolina</c:v>
                </c:pt>
                <c:pt idx="4">
                  <c:v>New York</c:v>
                </c:pt>
                <c:pt idx="5">
                  <c:v>Nevada</c:v>
                </c:pt>
                <c:pt idx="6">
                  <c:v>Michigan</c:v>
                </c:pt>
                <c:pt idx="7">
                  <c:v>Massachusetts</c:v>
                </c:pt>
                <c:pt idx="8">
                  <c:v>Illinois</c:v>
                </c:pt>
                <c:pt idx="9">
                  <c:v>Georgia</c:v>
                </c:pt>
                <c:pt idx="10">
                  <c:v>Florida</c:v>
                </c:pt>
                <c:pt idx="11">
                  <c:v>California</c:v>
                </c:pt>
              </c:strCache>
            </c:strRef>
          </c:cat>
          <c:val>
            <c:numRef>
              <c:f>'Profit by State'!$E$4:$E$15</c:f>
              <c:numCache>
                <c:formatCode>_([$$-409]* #,##0.00_);_([$$-409]* \(#,##0.00\);_([$$-409]* "-"??_);_(@_)</c:formatCode>
                <c:ptCount val="12"/>
                <c:pt idx="0">
                  <c:v>856.69</c:v>
                </c:pt>
                <c:pt idx="1">
                  <c:v>2371.9700000000003</c:v>
                </c:pt>
                <c:pt idx="2">
                  <c:v>2138.33</c:v>
                </c:pt>
                <c:pt idx="3">
                  <c:v>248.66</c:v>
                </c:pt>
                <c:pt idx="4">
                  <c:v>958.15</c:v>
                </c:pt>
                <c:pt idx="5">
                  <c:v>2668.7799999999997</c:v>
                </c:pt>
                <c:pt idx="6">
                  <c:v>1622.3400000000001</c:v>
                </c:pt>
                <c:pt idx="7">
                  <c:v>680.88</c:v>
                </c:pt>
                <c:pt idx="8">
                  <c:v>2477.3999999999996</c:v>
                </c:pt>
                <c:pt idx="9">
                  <c:v>813.13</c:v>
                </c:pt>
                <c:pt idx="10">
                  <c:v>125.49</c:v>
                </c:pt>
                <c:pt idx="11">
                  <c:v>483.36999999999995</c:v>
                </c:pt>
              </c:numCache>
            </c:numRef>
          </c:val>
          <c:extLst>
            <c:ext xmlns:c16="http://schemas.microsoft.com/office/drawing/2014/chart" uri="{C3380CC4-5D6E-409C-BE32-E72D297353CC}">
              <c16:uniqueId val="{00000002-495C-8E48-9B5C-E6498A8492FF}"/>
            </c:ext>
          </c:extLst>
        </c:ser>
        <c:ser>
          <c:idx val="3"/>
          <c:order val="3"/>
          <c:tx>
            <c:strRef>
              <c:f>'Profit by State'!$F$2:$F$3</c:f>
              <c:strCache>
                <c:ptCount val="1"/>
                <c:pt idx="0">
                  <c:v>Home &amp; Kitchen</c:v>
                </c:pt>
              </c:strCache>
            </c:strRef>
          </c:tx>
          <c:spPr>
            <a:solidFill>
              <a:srgbClr val="845D34"/>
            </a:solidFill>
            <a:ln>
              <a:noFill/>
            </a:ln>
            <a:effectLst/>
          </c:spPr>
          <c:invertIfNegative val="0"/>
          <c:cat>
            <c:strRef>
              <c:f>'Profit by State'!$B$4:$B$15</c:f>
              <c:strCache>
                <c:ptCount val="12"/>
                <c:pt idx="0">
                  <c:v>Washington</c:v>
                </c:pt>
                <c:pt idx="1">
                  <c:v>Texas</c:v>
                </c:pt>
                <c:pt idx="2">
                  <c:v>Pennsylvania</c:v>
                </c:pt>
                <c:pt idx="3">
                  <c:v>North Carolina</c:v>
                </c:pt>
                <c:pt idx="4">
                  <c:v>New York</c:v>
                </c:pt>
                <c:pt idx="5">
                  <c:v>Nevada</c:v>
                </c:pt>
                <c:pt idx="6">
                  <c:v>Michigan</c:v>
                </c:pt>
                <c:pt idx="7">
                  <c:v>Massachusetts</c:v>
                </c:pt>
                <c:pt idx="8">
                  <c:v>Illinois</c:v>
                </c:pt>
                <c:pt idx="9">
                  <c:v>Georgia</c:v>
                </c:pt>
                <c:pt idx="10">
                  <c:v>Florida</c:v>
                </c:pt>
                <c:pt idx="11">
                  <c:v>California</c:v>
                </c:pt>
              </c:strCache>
            </c:strRef>
          </c:cat>
          <c:val>
            <c:numRef>
              <c:f>'Profit by State'!$F$4:$F$15</c:f>
              <c:numCache>
                <c:formatCode>_([$$-409]* #,##0.00_);_([$$-409]* \(#,##0.00\);_([$$-409]* "-"??_);_(@_)</c:formatCode>
                <c:ptCount val="12"/>
                <c:pt idx="0">
                  <c:v>1943.91</c:v>
                </c:pt>
                <c:pt idx="1">
                  <c:v>174.54</c:v>
                </c:pt>
                <c:pt idx="2">
                  <c:v>1571.27</c:v>
                </c:pt>
                <c:pt idx="3">
                  <c:v>422.74</c:v>
                </c:pt>
                <c:pt idx="4">
                  <c:v>465.03999999999996</c:v>
                </c:pt>
                <c:pt idx="5">
                  <c:v>113.95</c:v>
                </c:pt>
                <c:pt idx="6">
                  <c:v>1107.6400000000001</c:v>
                </c:pt>
                <c:pt idx="7">
                  <c:v>2022.4899999999998</c:v>
                </c:pt>
                <c:pt idx="8">
                  <c:v>3354.55</c:v>
                </c:pt>
                <c:pt idx="9">
                  <c:v>557.53</c:v>
                </c:pt>
                <c:pt idx="10">
                  <c:v>1720.01</c:v>
                </c:pt>
                <c:pt idx="11">
                  <c:v>422.31</c:v>
                </c:pt>
              </c:numCache>
            </c:numRef>
          </c:val>
          <c:extLst>
            <c:ext xmlns:c16="http://schemas.microsoft.com/office/drawing/2014/chart" uri="{C3380CC4-5D6E-409C-BE32-E72D297353CC}">
              <c16:uniqueId val="{00000003-495C-8E48-9B5C-E6498A8492FF}"/>
            </c:ext>
          </c:extLst>
        </c:ser>
        <c:dLbls>
          <c:showLegendKey val="0"/>
          <c:showVal val="0"/>
          <c:showCatName val="0"/>
          <c:showSerName val="0"/>
          <c:showPercent val="0"/>
          <c:showBubbleSize val="0"/>
        </c:dLbls>
        <c:gapWidth val="100"/>
        <c:overlap val="100"/>
        <c:axId val="449028079"/>
        <c:axId val="481269967"/>
      </c:barChart>
      <c:catAx>
        <c:axId val="44902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9967"/>
        <c:crosses val="autoZero"/>
        <c:auto val="1"/>
        <c:lblAlgn val="ctr"/>
        <c:lblOffset val="100"/>
        <c:noMultiLvlLbl val="0"/>
      </c:catAx>
      <c:valAx>
        <c:axId val="481269967"/>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2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Trend!PivotTable4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square"/>
          <c:size val="5"/>
          <c:spPr>
            <a:solidFill>
              <a:srgbClr val="FFC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0C0"/>
            </a:solidFill>
            <a:round/>
          </a:ln>
          <a:effectLst/>
        </c:spPr>
        <c:marker>
          <c:symbol val="square"/>
          <c:size val="5"/>
          <c:spPr>
            <a:solidFill>
              <a:srgbClr val="FFC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square"/>
          <c:size val="5"/>
          <c:spPr>
            <a:solidFill>
              <a:srgbClr val="FFC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8575" cap="rnd">
              <a:solidFill>
                <a:srgbClr val="0070C0"/>
              </a:solidFill>
              <a:round/>
            </a:ln>
            <a:effectLst/>
          </c:spPr>
          <c:marker>
            <c:symbol val="square"/>
            <c:size val="5"/>
            <c:spPr>
              <a:solidFill>
                <a:srgbClr val="FFC000"/>
              </a:solidFill>
              <a:ln w="9525">
                <a:noFill/>
              </a:ln>
              <a:effectLst/>
            </c:spPr>
          </c:marker>
          <c:cat>
            <c:multiLvlStrRef>
              <c:f>'Sales Trend'!$B$3:$B$17</c:f>
              <c:multiLvlStrCache>
                <c:ptCount val="13"/>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lvl>
                <c:lvl>
                  <c:pt idx="0">
                    <c:v>2024</c:v>
                  </c:pt>
                  <c:pt idx="7">
                    <c:v>2025</c:v>
                  </c:pt>
                </c:lvl>
              </c:multiLvlStrCache>
            </c:multiLvlStrRef>
          </c:cat>
          <c:val>
            <c:numRef>
              <c:f>'Sales Trend'!$C$3:$C$17</c:f>
              <c:numCache>
                <c:formatCode>_([$$-409]* #,##0.00_);_([$$-409]* \(#,##0.00\);_([$$-409]* "-"??_);_(@_)</c:formatCode>
                <c:ptCount val="13"/>
                <c:pt idx="0">
                  <c:v>48724.47</c:v>
                </c:pt>
                <c:pt idx="1">
                  <c:v>30232.649999999998</c:v>
                </c:pt>
                <c:pt idx="2">
                  <c:v>29853.75</c:v>
                </c:pt>
                <c:pt idx="3">
                  <c:v>27327.100000000006</c:v>
                </c:pt>
                <c:pt idx="4">
                  <c:v>37859.659999999996</c:v>
                </c:pt>
                <c:pt idx="5">
                  <c:v>18066.739999999998</c:v>
                </c:pt>
                <c:pt idx="6">
                  <c:v>61247.789999999994</c:v>
                </c:pt>
                <c:pt idx="7">
                  <c:v>35290.839999999997</c:v>
                </c:pt>
                <c:pt idx="8">
                  <c:v>46824.52</c:v>
                </c:pt>
                <c:pt idx="9">
                  <c:v>30041.190000000006</c:v>
                </c:pt>
                <c:pt idx="10">
                  <c:v>34186.880000000005</c:v>
                </c:pt>
                <c:pt idx="11">
                  <c:v>24930.030000000002</c:v>
                </c:pt>
                <c:pt idx="12">
                  <c:v>16198.95</c:v>
                </c:pt>
              </c:numCache>
            </c:numRef>
          </c:val>
          <c:smooth val="0"/>
          <c:extLst>
            <c:ext xmlns:c16="http://schemas.microsoft.com/office/drawing/2014/chart" uri="{C3380CC4-5D6E-409C-BE32-E72D297353CC}">
              <c16:uniqueId val="{00000000-6B9A-5B4F-9893-A161FCCC140A}"/>
            </c:ext>
          </c:extLst>
        </c:ser>
        <c:dLbls>
          <c:showLegendKey val="0"/>
          <c:showVal val="0"/>
          <c:showCatName val="0"/>
          <c:showSerName val="0"/>
          <c:showPercent val="0"/>
          <c:showBubbleSize val="0"/>
        </c:dLbls>
        <c:marker val="1"/>
        <c:smooth val="0"/>
        <c:axId val="947144879"/>
        <c:axId val="947254831"/>
      </c:lineChart>
      <c:catAx>
        <c:axId val="94714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54831"/>
        <c:crosses val="autoZero"/>
        <c:auto val="1"/>
        <c:lblAlgn val="ctr"/>
        <c:lblOffset val="100"/>
        <c:noMultiLvlLbl val="0"/>
      </c:catAx>
      <c:valAx>
        <c:axId val="947254831"/>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14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project.xlsx]Profit by Category!PivotTable5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75000"/>
              <a:lumOff val="25000"/>
            </a:schemeClr>
          </a:solidFill>
          <a:ln>
            <a:noFill/>
          </a:ln>
          <a:effectLst/>
        </c:spPr>
      </c:pivotFmt>
      <c:pivotFmt>
        <c:idx val="4"/>
      </c:pivotFmt>
      <c:pivotFmt>
        <c:idx val="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Category'!$C$2</c:f>
              <c:strCache>
                <c:ptCount val="1"/>
                <c:pt idx="0">
                  <c:v>Total</c:v>
                </c:pt>
              </c:strCache>
            </c:strRef>
          </c:tx>
          <c:spPr>
            <a:solidFill>
              <a:srgbClr val="0432FF"/>
            </a:solidFill>
            <a:ln>
              <a:noFill/>
            </a:ln>
            <a:effectLst/>
          </c:spPr>
          <c:invertIfNegative val="0"/>
          <c:cat>
            <c:strRef>
              <c:f>'Profit by Category'!$B$3:$B$6</c:f>
              <c:strCache>
                <c:ptCount val="4"/>
                <c:pt idx="0">
                  <c:v>Clothing</c:v>
                </c:pt>
                <c:pt idx="1">
                  <c:v>Home &amp; Kitchen</c:v>
                </c:pt>
                <c:pt idx="2">
                  <c:v>Electronics</c:v>
                </c:pt>
                <c:pt idx="3">
                  <c:v>Groceries</c:v>
                </c:pt>
              </c:strCache>
            </c:strRef>
          </c:cat>
          <c:val>
            <c:numRef>
              <c:f>'Profit by Category'!$C$3:$C$6</c:f>
              <c:numCache>
                <c:formatCode>_([$$-409]* #,##0.00_);_([$$-409]* \(#,##0.00\);_([$$-409]* "-"??_);_(@_)</c:formatCode>
                <c:ptCount val="4"/>
                <c:pt idx="0">
                  <c:v>2629.92</c:v>
                </c:pt>
                <c:pt idx="1">
                  <c:v>1720.01</c:v>
                </c:pt>
                <c:pt idx="2">
                  <c:v>1705.35</c:v>
                </c:pt>
                <c:pt idx="3">
                  <c:v>125.49</c:v>
                </c:pt>
              </c:numCache>
            </c:numRef>
          </c:val>
          <c:extLst>
            <c:ext xmlns:c16="http://schemas.microsoft.com/office/drawing/2014/chart" uri="{C3380CC4-5D6E-409C-BE32-E72D297353CC}">
              <c16:uniqueId val="{00000000-DDEF-4944-8784-CE745820064F}"/>
            </c:ext>
          </c:extLst>
        </c:ser>
        <c:dLbls>
          <c:showLegendKey val="0"/>
          <c:showVal val="0"/>
          <c:showCatName val="0"/>
          <c:showSerName val="0"/>
          <c:showPercent val="0"/>
          <c:showBubbleSize val="0"/>
        </c:dLbls>
        <c:gapWidth val="100"/>
        <c:overlap val="-27"/>
        <c:axId val="947346831"/>
        <c:axId val="953316815"/>
      </c:barChart>
      <c:catAx>
        <c:axId val="94734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16815"/>
        <c:crosses val="autoZero"/>
        <c:auto val="1"/>
        <c:lblAlgn val="ctr"/>
        <c:lblOffset val="100"/>
        <c:noMultiLvlLbl val="0"/>
      </c:catAx>
      <c:valAx>
        <c:axId val="95331681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4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project.xlsx]Payment Method Distribution!PivotTable6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432FF"/>
          </a:solidFill>
          <a:ln w="19050">
            <a:solidFill>
              <a:schemeClr val="lt1"/>
            </a:solidFill>
          </a:ln>
          <a:effectLst/>
        </c:spPr>
      </c:pivotFmt>
      <c:pivotFmt>
        <c:idx val="2"/>
        <c:spPr>
          <a:solidFill>
            <a:srgbClr val="FF9300"/>
          </a:solidFill>
          <a:ln w="19050">
            <a:solidFill>
              <a:schemeClr val="lt1"/>
            </a:solidFill>
          </a:ln>
          <a:effectLst/>
        </c:spPr>
      </c:pivotFmt>
      <c:pivotFmt>
        <c:idx val="3"/>
        <c:spPr>
          <a:solidFill>
            <a:srgbClr val="00E0E3"/>
          </a:solidFill>
          <a:ln w="19050">
            <a:solidFill>
              <a:schemeClr val="lt1"/>
            </a:solidFill>
          </a:ln>
          <a:effectLst/>
        </c:spPr>
      </c:pivotFmt>
      <c:pivotFmt>
        <c:idx val="4"/>
        <c:spPr>
          <a:solidFill>
            <a:srgbClr val="845D34"/>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432FF"/>
          </a:solidFill>
          <a:ln w="19050">
            <a:solidFill>
              <a:schemeClr val="lt1"/>
            </a:solidFill>
          </a:ln>
          <a:effectLst/>
        </c:spPr>
      </c:pivotFmt>
      <c:pivotFmt>
        <c:idx val="7"/>
        <c:spPr>
          <a:solidFill>
            <a:srgbClr val="FF9300"/>
          </a:solidFill>
          <a:ln w="19050">
            <a:solidFill>
              <a:schemeClr val="lt1"/>
            </a:solidFill>
          </a:ln>
          <a:effectLst/>
        </c:spPr>
      </c:pivotFmt>
      <c:pivotFmt>
        <c:idx val="8"/>
        <c:spPr>
          <a:solidFill>
            <a:srgbClr val="00E0E3"/>
          </a:solidFill>
          <a:ln w="19050">
            <a:solidFill>
              <a:schemeClr val="lt1"/>
            </a:solidFill>
          </a:ln>
          <a:effectLst/>
        </c:spPr>
      </c:pivotFmt>
      <c:pivotFmt>
        <c:idx val="9"/>
        <c:spPr>
          <a:solidFill>
            <a:srgbClr val="845D34"/>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432FF"/>
          </a:solidFill>
          <a:ln w="19050">
            <a:solidFill>
              <a:schemeClr val="lt1"/>
            </a:solidFill>
          </a:ln>
          <a:effectLst/>
        </c:spPr>
      </c:pivotFmt>
      <c:pivotFmt>
        <c:idx val="12"/>
        <c:spPr>
          <a:solidFill>
            <a:srgbClr val="FF9300"/>
          </a:solidFill>
          <a:ln w="19050">
            <a:solidFill>
              <a:schemeClr val="lt1"/>
            </a:solidFill>
          </a:ln>
          <a:effectLst/>
        </c:spPr>
      </c:pivotFmt>
      <c:pivotFmt>
        <c:idx val="13"/>
        <c:spPr>
          <a:solidFill>
            <a:srgbClr val="00E0E3"/>
          </a:solidFill>
          <a:ln w="19050">
            <a:solidFill>
              <a:schemeClr val="lt1"/>
            </a:solidFill>
          </a:ln>
          <a:effectLst/>
        </c:spPr>
      </c:pivotFmt>
      <c:pivotFmt>
        <c:idx val="14"/>
        <c:spPr>
          <a:solidFill>
            <a:srgbClr val="845D34"/>
          </a:solidFill>
          <a:ln w="19050">
            <a:solidFill>
              <a:schemeClr val="lt1"/>
            </a:solidFill>
          </a:ln>
          <a:effectLst/>
        </c:spPr>
      </c:pivotFmt>
    </c:pivotFmts>
    <c:plotArea>
      <c:layout/>
      <c:doughnutChart>
        <c:varyColors val="1"/>
        <c:ser>
          <c:idx val="0"/>
          <c:order val="0"/>
          <c:tx>
            <c:strRef>
              <c:f>'Payment Method Distribution'!$C$2</c:f>
              <c:strCache>
                <c:ptCount val="1"/>
                <c:pt idx="0">
                  <c:v>Total</c:v>
                </c:pt>
              </c:strCache>
            </c:strRef>
          </c:tx>
          <c:dPt>
            <c:idx val="0"/>
            <c:bubble3D val="0"/>
            <c:spPr>
              <a:solidFill>
                <a:srgbClr val="0432FF"/>
              </a:solidFill>
              <a:ln w="19050">
                <a:solidFill>
                  <a:schemeClr val="lt1"/>
                </a:solidFill>
              </a:ln>
              <a:effectLst/>
            </c:spPr>
            <c:extLst>
              <c:ext xmlns:c16="http://schemas.microsoft.com/office/drawing/2014/chart" uri="{C3380CC4-5D6E-409C-BE32-E72D297353CC}">
                <c16:uniqueId val="{00000001-70DF-7B40-BEBC-3E7B6AE5795B}"/>
              </c:ext>
            </c:extLst>
          </c:dPt>
          <c:dPt>
            <c:idx val="1"/>
            <c:bubble3D val="0"/>
            <c:spPr>
              <a:solidFill>
                <a:srgbClr val="FF9300"/>
              </a:solidFill>
              <a:ln w="19050">
                <a:solidFill>
                  <a:schemeClr val="lt1"/>
                </a:solidFill>
              </a:ln>
              <a:effectLst/>
            </c:spPr>
            <c:extLst>
              <c:ext xmlns:c16="http://schemas.microsoft.com/office/drawing/2014/chart" uri="{C3380CC4-5D6E-409C-BE32-E72D297353CC}">
                <c16:uniqueId val="{00000003-70DF-7B40-BEBC-3E7B6AE5795B}"/>
              </c:ext>
            </c:extLst>
          </c:dPt>
          <c:dPt>
            <c:idx val="2"/>
            <c:bubble3D val="0"/>
            <c:spPr>
              <a:solidFill>
                <a:srgbClr val="00E0E3"/>
              </a:solidFill>
              <a:ln w="19050">
                <a:solidFill>
                  <a:schemeClr val="lt1"/>
                </a:solidFill>
              </a:ln>
              <a:effectLst/>
            </c:spPr>
            <c:extLst>
              <c:ext xmlns:c16="http://schemas.microsoft.com/office/drawing/2014/chart" uri="{C3380CC4-5D6E-409C-BE32-E72D297353CC}">
                <c16:uniqueId val="{00000005-70DF-7B40-BEBC-3E7B6AE5795B}"/>
              </c:ext>
            </c:extLst>
          </c:dPt>
          <c:dPt>
            <c:idx val="3"/>
            <c:bubble3D val="0"/>
            <c:spPr>
              <a:solidFill>
                <a:srgbClr val="845D34"/>
              </a:solidFill>
              <a:ln w="19050">
                <a:solidFill>
                  <a:schemeClr val="lt1"/>
                </a:solidFill>
              </a:ln>
              <a:effectLst/>
            </c:spPr>
            <c:extLst>
              <c:ext xmlns:c16="http://schemas.microsoft.com/office/drawing/2014/chart" uri="{C3380CC4-5D6E-409C-BE32-E72D297353CC}">
                <c16:uniqueId val="{00000007-70DF-7B40-BEBC-3E7B6AE579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Distribution'!$B$3:$B$6</c:f>
              <c:strCache>
                <c:ptCount val="4"/>
                <c:pt idx="0">
                  <c:v>Bank Transfer</c:v>
                </c:pt>
                <c:pt idx="1">
                  <c:v>Cash</c:v>
                </c:pt>
                <c:pt idx="2">
                  <c:v>Credit Card</c:v>
                </c:pt>
                <c:pt idx="3">
                  <c:v>Online Payment</c:v>
                </c:pt>
              </c:strCache>
            </c:strRef>
          </c:cat>
          <c:val>
            <c:numRef>
              <c:f>'Payment Method Distribution'!$C$3:$C$6</c:f>
              <c:numCache>
                <c:formatCode>_([$$-409]* #,##0.00_);_([$$-409]* \(#,##0.00\);_([$$-409]* "-"??_);_(@_)</c:formatCode>
                <c:ptCount val="4"/>
                <c:pt idx="0">
                  <c:v>104408.52999999998</c:v>
                </c:pt>
                <c:pt idx="1">
                  <c:v>73828.440000000017</c:v>
                </c:pt>
                <c:pt idx="2">
                  <c:v>128667.73000000001</c:v>
                </c:pt>
                <c:pt idx="3">
                  <c:v>133879.87</c:v>
                </c:pt>
              </c:numCache>
            </c:numRef>
          </c:val>
          <c:extLst>
            <c:ext xmlns:c16="http://schemas.microsoft.com/office/drawing/2014/chart" uri="{C3380CC4-5D6E-409C-BE32-E72D297353CC}">
              <c16:uniqueId val="{00000008-70DF-7B40-BEBC-3E7B6AE5795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by City!PivotTable7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City'!$C$2</c:f>
              <c:strCache>
                <c:ptCount val="1"/>
                <c:pt idx="0">
                  <c:v>Total</c:v>
                </c:pt>
              </c:strCache>
            </c:strRef>
          </c:tx>
          <c:spPr>
            <a:solidFill>
              <a:srgbClr val="0432FF"/>
            </a:solidFill>
            <a:ln>
              <a:noFill/>
            </a:ln>
            <a:effectLst/>
          </c:spPr>
          <c:invertIfNegative val="0"/>
          <c:cat>
            <c:strRef>
              <c:f>'Sales by City'!$B$3:$B$12</c:f>
              <c:strCache>
                <c:ptCount val="10"/>
                <c:pt idx="0">
                  <c:v>Springfield</c:v>
                </c:pt>
                <c:pt idx="1">
                  <c:v>Las Vegas</c:v>
                </c:pt>
                <c:pt idx="2">
                  <c:v>Orlando</c:v>
                </c:pt>
                <c:pt idx="3">
                  <c:v>Pittsburgh</c:v>
                </c:pt>
                <c:pt idx="4">
                  <c:v>Worcester</c:v>
                </c:pt>
                <c:pt idx="5">
                  <c:v>Philadelphia</c:v>
                </c:pt>
                <c:pt idx="6">
                  <c:v>Grand Rapids</c:v>
                </c:pt>
                <c:pt idx="7">
                  <c:v>San Francisco</c:v>
                </c:pt>
                <c:pt idx="8">
                  <c:v>Buffalo</c:v>
                </c:pt>
                <c:pt idx="9">
                  <c:v>Reno</c:v>
                </c:pt>
              </c:strCache>
            </c:strRef>
          </c:cat>
          <c:val>
            <c:numRef>
              <c:f>'Sales by City'!$C$3:$C$12</c:f>
              <c:numCache>
                <c:formatCode>_([$$-409]* #,##0.00_);_([$$-409]* \(#,##0.00\);_([$$-409]* "-"??_);_(@_)</c:formatCode>
                <c:ptCount val="10"/>
                <c:pt idx="0">
                  <c:v>49238.000000000007</c:v>
                </c:pt>
                <c:pt idx="1">
                  <c:v>33258.94</c:v>
                </c:pt>
                <c:pt idx="2">
                  <c:v>30051.760000000006</c:v>
                </c:pt>
                <c:pt idx="3">
                  <c:v>25809.13</c:v>
                </c:pt>
                <c:pt idx="4">
                  <c:v>25613.29</c:v>
                </c:pt>
                <c:pt idx="5">
                  <c:v>21238.199999999997</c:v>
                </c:pt>
                <c:pt idx="6">
                  <c:v>20734.259999999998</c:v>
                </c:pt>
                <c:pt idx="7">
                  <c:v>19298.050000000003</c:v>
                </c:pt>
                <c:pt idx="8">
                  <c:v>18626.680000000004</c:v>
                </c:pt>
                <c:pt idx="9">
                  <c:v>18146.719999999998</c:v>
                </c:pt>
              </c:numCache>
            </c:numRef>
          </c:val>
          <c:extLst>
            <c:ext xmlns:c16="http://schemas.microsoft.com/office/drawing/2014/chart" uri="{C3380CC4-5D6E-409C-BE32-E72D297353CC}">
              <c16:uniqueId val="{00000000-C177-764B-A396-868FB3CF31ED}"/>
            </c:ext>
          </c:extLst>
        </c:ser>
        <c:dLbls>
          <c:showLegendKey val="0"/>
          <c:showVal val="0"/>
          <c:showCatName val="0"/>
          <c:showSerName val="0"/>
          <c:showPercent val="0"/>
          <c:showBubbleSize val="0"/>
        </c:dLbls>
        <c:gapWidth val="100"/>
        <c:overlap val="-27"/>
        <c:axId val="1003103871"/>
        <c:axId val="948436895"/>
      </c:barChart>
      <c:catAx>
        <c:axId val="100310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36895"/>
        <c:crosses val="autoZero"/>
        <c:auto val="1"/>
        <c:lblAlgn val="ctr"/>
        <c:lblOffset val="100"/>
        <c:noMultiLvlLbl val="0"/>
      </c:catAx>
      <c:valAx>
        <c:axId val="94843689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10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by Subcategory!PivotTable8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Subcategory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Subcategory'!$C$2</c:f>
              <c:strCache>
                <c:ptCount val="1"/>
                <c:pt idx="0">
                  <c:v>Total</c:v>
                </c:pt>
              </c:strCache>
            </c:strRef>
          </c:tx>
          <c:spPr>
            <a:solidFill>
              <a:srgbClr val="0432FF"/>
            </a:solidFill>
            <a:ln>
              <a:noFill/>
            </a:ln>
            <a:effectLst/>
          </c:spPr>
          <c:invertIfNegative val="0"/>
          <c:cat>
            <c:strRef>
              <c:f>'Sales by Subcategory'!$B$3:$B$15</c:f>
              <c:strCache>
                <c:ptCount val="13"/>
                <c:pt idx="0">
                  <c:v>Women</c:v>
                </c:pt>
                <c:pt idx="1">
                  <c:v>Vegetables</c:v>
                </c:pt>
                <c:pt idx="2">
                  <c:v>Utensils</c:v>
                </c:pt>
                <c:pt idx="3">
                  <c:v>Snacks</c:v>
                </c:pt>
                <c:pt idx="4">
                  <c:v>Phones</c:v>
                </c:pt>
                <c:pt idx="5">
                  <c:v>Men</c:v>
                </c:pt>
                <c:pt idx="6">
                  <c:v>Kids</c:v>
                </c:pt>
                <c:pt idx="7">
                  <c:v>Furniture</c:v>
                </c:pt>
                <c:pt idx="8">
                  <c:v>Fruits</c:v>
                </c:pt>
                <c:pt idx="9">
                  <c:v>Decor</c:v>
                </c:pt>
                <c:pt idx="10">
                  <c:v>Dairy</c:v>
                </c:pt>
                <c:pt idx="11">
                  <c:v>Appliances</c:v>
                </c:pt>
                <c:pt idx="12">
                  <c:v>Accessories</c:v>
                </c:pt>
              </c:strCache>
            </c:strRef>
          </c:cat>
          <c:val>
            <c:numRef>
              <c:f>'Sales by Subcategory'!$C$3:$C$15</c:f>
              <c:numCache>
                <c:formatCode>_([$$-409]* #,##0.00_);_([$$-409]* \(#,##0.00\);_([$$-409]* "-"??_);_(@_)</c:formatCode>
                <c:ptCount val="13"/>
                <c:pt idx="0">
                  <c:v>43065.02</c:v>
                </c:pt>
                <c:pt idx="1">
                  <c:v>34125.07</c:v>
                </c:pt>
                <c:pt idx="2">
                  <c:v>32289.719999999998</c:v>
                </c:pt>
                <c:pt idx="3">
                  <c:v>23550.059999999998</c:v>
                </c:pt>
                <c:pt idx="4">
                  <c:v>33063.82</c:v>
                </c:pt>
                <c:pt idx="5">
                  <c:v>69148.72</c:v>
                </c:pt>
                <c:pt idx="6">
                  <c:v>35789.729999999996</c:v>
                </c:pt>
                <c:pt idx="7">
                  <c:v>35070.259999999995</c:v>
                </c:pt>
                <c:pt idx="8">
                  <c:v>27080.45</c:v>
                </c:pt>
                <c:pt idx="9">
                  <c:v>28309.26</c:v>
                </c:pt>
                <c:pt idx="10">
                  <c:v>24943.51</c:v>
                </c:pt>
                <c:pt idx="11">
                  <c:v>38646.85</c:v>
                </c:pt>
                <c:pt idx="12">
                  <c:v>15702.1</c:v>
                </c:pt>
              </c:numCache>
            </c:numRef>
          </c:val>
          <c:extLst>
            <c:ext xmlns:c16="http://schemas.microsoft.com/office/drawing/2014/chart" uri="{C3380CC4-5D6E-409C-BE32-E72D297353CC}">
              <c16:uniqueId val="{00000000-E3FD-1B4F-9A8D-0814CD79DB0C}"/>
            </c:ext>
          </c:extLst>
        </c:ser>
        <c:dLbls>
          <c:showLegendKey val="0"/>
          <c:showVal val="0"/>
          <c:showCatName val="0"/>
          <c:showSerName val="0"/>
          <c:showPercent val="0"/>
          <c:showBubbleSize val="0"/>
        </c:dLbls>
        <c:gapWidth val="100"/>
        <c:overlap val="-27"/>
        <c:axId val="992068751"/>
        <c:axId val="992633599"/>
      </c:barChart>
      <c:catAx>
        <c:axId val="99206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33599"/>
        <c:crosses val="autoZero"/>
        <c:auto val="1"/>
        <c:lblAlgn val="ctr"/>
        <c:lblOffset val="100"/>
        <c:noMultiLvlLbl val="0"/>
      </c:catAx>
      <c:valAx>
        <c:axId val="992633599"/>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by Region!PivotTable9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E0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45D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E0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45D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9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E0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45D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Region'!$C$2:$C$3</c:f>
              <c:strCache>
                <c:ptCount val="1"/>
                <c:pt idx="0">
                  <c:v>Clothing</c:v>
                </c:pt>
              </c:strCache>
            </c:strRef>
          </c:tx>
          <c:spPr>
            <a:solidFill>
              <a:srgbClr val="0432FF"/>
            </a:solidFill>
            <a:ln>
              <a:noFill/>
            </a:ln>
            <a:effectLst/>
          </c:spPr>
          <c:invertIfNegative val="0"/>
          <c:cat>
            <c:strRef>
              <c:f>'Sales by Region'!$B$4:$B$7</c:f>
              <c:strCache>
                <c:ptCount val="4"/>
                <c:pt idx="0">
                  <c:v>Central</c:v>
                </c:pt>
                <c:pt idx="1">
                  <c:v>East</c:v>
                </c:pt>
                <c:pt idx="2">
                  <c:v>West</c:v>
                </c:pt>
                <c:pt idx="3">
                  <c:v>South</c:v>
                </c:pt>
              </c:strCache>
            </c:strRef>
          </c:cat>
          <c:val>
            <c:numRef>
              <c:f>'Sales by Region'!$C$4:$C$7</c:f>
              <c:numCache>
                <c:formatCode>_([$$-409]* #,##0.00_);_([$$-409]* \(#,##0.00\);_([$$-409]* "-"??_);_(@_)</c:formatCode>
                <c:ptCount val="4"/>
                <c:pt idx="0">
                  <c:v>22262.28</c:v>
                </c:pt>
                <c:pt idx="1">
                  <c:v>55637.12999999999</c:v>
                </c:pt>
                <c:pt idx="2">
                  <c:v>37160.479999999996</c:v>
                </c:pt>
                <c:pt idx="3">
                  <c:v>32943.58</c:v>
                </c:pt>
              </c:numCache>
            </c:numRef>
          </c:val>
          <c:extLst>
            <c:ext xmlns:c16="http://schemas.microsoft.com/office/drawing/2014/chart" uri="{C3380CC4-5D6E-409C-BE32-E72D297353CC}">
              <c16:uniqueId val="{00000000-FE61-9744-80FD-64CE643CB2B8}"/>
            </c:ext>
          </c:extLst>
        </c:ser>
        <c:ser>
          <c:idx val="1"/>
          <c:order val="1"/>
          <c:tx>
            <c:strRef>
              <c:f>'Sales by Region'!$D$2:$D$3</c:f>
              <c:strCache>
                <c:ptCount val="1"/>
                <c:pt idx="0">
                  <c:v>Electronics</c:v>
                </c:pt>
              </c:strCache>
            </c:strRef>
          </c:tx>
          <c:spPr>
            <a:solidFill>
              <a:srgbClr val="FF9300"/>
            </a:solidFill>
            <a:ln>
              <a:noFill/>
            </a:ln>
            <a:effectLst/>
          </c:spPr>
          <c:invertIfNegative val="0"/>
          <c:cat>
            <c:strRef>
              <c:f>'Sales by Region'!$B$4:$B$7</c:f>
              <c:strCache>
                <c:ptCount val="4"/>
                <c:pt idx="0">
                  <c:v>Central</c:v>
                </c:pt>
                <c:pt idx="1">
                  <c:v>East</c:v>
                </c:pt>
                <c:pt idx="2">
                  <c:v>West</c:v>
                </c:pt>
                <c:pt idx="3">
                  <c:v>South</c:v>
                </c:pt>
              </c:strCache>
            </c:strRef>
          </c:cat>
          <c:val>
            <c:numRef>
              <c:f>'Sales by Region'!$D$4:$D$7</c:f>
              <c:numCache>
                <c:formatCode>_([$$-409]* #,##0.00_);_([$$-409]* \(#,##0.00\);_([$$-409]* "-"??_);_(@_)</c:formatCode>
                <c:ptCount val="4"/>
                <c:pt idx="0">
                  <c:v>26200.98</c:v>
                </c:pt>
                <c:pt idx="1">
                  <c:v>5006.3</c:v>
                </c:pt>
                <c:pt idx="2">
                  <c:v>29165.909999999996</c:v>
                </c:pt>
                <c:pt idx="3">
                  <c:v>27039.579999999998</c:v>
                </c:pt>
              </c:numCache>
            </c:numRef>
          </c:val>
          <c:extLst>
            <c:ext xmlns:c16="http://schemas.microsoft.com/office/drawing/2014/chart" uri="{C3380CC4-5D6E-409C-BE32-E72D297353CC}">
              <c16:uniqueId val="{00000001-FE61-9744-80FD-64CE643CB2B8}"/>
            </c:ext>
          </c:extLst>
        </c:ser>
        <c:ser>
          <c:idx val="2"/>
          <c:order val="2"/>
          <c:tx>
            <c:strRef>
              <c:f>'Sales by Region'!$E$2:$E$3</c:f>
              <c:strCache>
                <c:ptCount val="1"/>
                <c:pt idx="0">
                  <c:v>Groceries</c:v>
                </c:pt>
              </c:strCache>
            </c:strRef>
          </c:tx>
          <c:spPr>
            <a:solidFill>
              <a:srgbClr val="00E0E3"/>
            </a:solidFill>
            <a:ln>
              <a:noFill/>
            </a:ln>
            <a:effectLst/>
          </c:spPr>
          <c:invertIfNegative val="0"/>
          <c:cat>
            <c:strRef>
              <c:f>'Sales by Region'!$B$4:$B$7</c:f>
              <c:strCache>
                <c:ptCount val="4"/>
                <c:pt idx="0">
                  <c:v>Central</c:v>
                </c:pt>
                <c:pt idx="1">
                  <c:v>East</c:v>
                </c:pt>
                <c:pt idx="2">
                  <c:v>West</c:v>
                </c:pt>
                <c:pt idx="3">
                  <c:v>South</c:v>
                </c:pt>
              </c:strCache>
            </c:strRef>
          </c:cat>
          <c:val>
            <c:numRef>
              <c:f>'Sales by Region'!$E$4:$E$7</c:f>
              <c:numCache>
                <c:formatCode>_([$$-409]* #,##0.00_);_([$$-409]* \(#,##0.00\);_([$$-409]* "-"??_);_(@_)</c:formatCode>
                <c:ptCount val="4"/>
                <c:pt idx="0">
                  <c:v>42193.52</c:v>
                </c:pt>
                <c:pt idx="1">
                  <c:v>24460.89</c:v>
                </c:pt>
                <c:pt idx="2">
                  <c:v>27788.04</c:v>
                </c:pt>
                <c:pt idx="3">
                  <c:v>15256.64</c:v>
                </c:pt>
              </c:numCache>
            </c:numRef>
          </c:val>
          <c:extLst>
            <c:ext xmlns:c16="http://schemas.microsoft.com/office/drawing/2014/chart" uri="{C3380CC4-5D6E-409C-BE32-E72D297353CC}">
              <c16:uniqueId val="{00000002-FE61-9744-80FD-64CE643CB2B8}"/>
            </c:ext>
          </c:extLst>
        </c:ser>
        <c:ser>
          <c:idx val="3"/>
          <c:order val="3"/>
          <c:tx>
            <c:strRef>
              <c:f>'Sales by Region'!$F$2:$F$3</c:f>
              <c:strCache>
                <c:ptCount val="1"/>
                <c:pt idx="0">
                  <c:v>Home &amp; Kitchen</c:v>
                </c:pt>
              </c:strCache>
            </c:strRef>
          </c:tx>
          <c:spPr>
            <a:solidFill>
              <a:srgbClr val="845D34"/>
            </a:solidFill>
            <a:ln>
              <a:noFill/>
            </a:ln>
            <a:effectLst/>
          </c:spPr>
          <c:invertIfNegative val="0"/>
          <c:cat>
            <c:strRef>
              <c:f>'Sales by Region'!$B$4:$B$7</c:f>
              <c:strCache>
                <c:ptCount val="4"/>
                <c:pt idx="0">
                  <c:v>Central</c:v>
                </c:pt>
                <c:pt idx="1">
                  <c:v>East</c:v>
                </c:pt>
                <c:pt idx="2">
                  <c:v>West</c:v>
                </c:pt>
                <c:pt idx="3">
                  <c:v>South</c:v>
                </c:pt>
              </c:strCache>
            </c:strRef>
          </c:cat>
          <c:val>
            <c:numRef>
              <c:f>'Sales by Region'!$F$4:$F$7</c:f>
              <c:numCache>
                <c:formatCode>_([$$-409]* #,##0.00_);_([$$-409]* \(#,##0.00\);_([$$-409]* "-"??_);_(@_)</c:formatCode>
                <c:ptCount val="4"/>
                <c:pt idx="0">
                  <c:v>30215.69</c:v>
                </c:pt>
                <c:pt idx="1">
                  <c:v>28968.689999999995</c:v>
                </c:pt>
                <c:pt idx="2">
                  <c:v>15237.18</c:v>
                </c:pt>
                <c:pt idx="3">
                  <c:v>21247.68</c:v>
                </c:pt>
              </c:numCache>
            </c:numRef>
          </c:val>
          <c:extLst>
            <c:ext xmlns:c16="http://schemas.microsoft.com/office/drawing/2014/chart" uri="{C3380CC4-5D6E-409C-BE32-E72D297353CC}">
              <c16:uniqueId val="{00000003-FE61-9744-80FD-64CE643CB2B8}"/>
            </c:ext>
          </c:extLst>
        </c:ser>
        <c:dLbls>
          <c:showLegendKey val="0"/>
          <c:showVal val="0"/>
          <c:showCatName val="0"/>
          <c:showSerName val="0"/>
          <c:showPercent val="0"/>
          <c:showBubbleSize val="0"/>
        </c:dLbls>
        <c:gapWidth val="200"/>
        <c:overlap val="-27"/>
        <c:axId val="1778525263"/>
        <c:axId val="943673935"/>
      </c:barChart>
      <c:catAx>
        <c:axId val="177852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73935"/>
        <c:crosses val="autoZero"/>
        <c:auto val="1"/>
        <c:lblAlgn val="ctr"/>
        <c:lblOffset val="100"/>
        <c:noMultiLvlLbl val="0"/>
      </c:catAx>
      <c:valAx>
        <c:axId val="94367393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2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by Store!PivotTable2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Store'!$C$2</c:f>
              <c:strCache>
                <c:ptCount val="1"/>
                <c:pt idx="0">
                  <c:v>Total</c:v>
                </c:pt>
              </c:strCache>
            </c:strRef>
          </c:tx>
          <c:spPr>
            <a:solidFill>
              <a:schemeClr val="tx2">
                <a:lumMod val="90000"/>
                <a:lumOff val="10000"/>
              </a:schemeClr>
            </a:solidFill>
            <a:ln>
              <a:noFill/>
            </a:ln>
            <a:effectLst/>
          </c:spPr>
          <c:invertIfNegative val="0"/>
          <c:cat>
            <c:strRef>
              <c:f>'Sales by Store'!$B$3:$B$7</c:f>
              <c:strCache>
                <c:ptCount val="5"/>
                <c:pt idx="0">
                  <c:v>ValueHub</c:v>
                </c:pt>
                <c:pt idx="1">
                  <c:v>Urban Mart</c:v>
                </c:pt>
                <c:pt idx="2">
                  <c:v>ShopEase</c:v>
                </c:pt>
                <c:pt idx="3">
                  <c:v>QuickBuy</c:v>
                </c:pt>
                <c:pt idx="4">
                  <c:v>Metro Store</c:v>
                </c:pt>
              </c:strCache>
            </c:strRef>
          </c:cat>
          <c:val>
            <c:numRef>
              <c:f>'Sales by Store'!$C$3:$C$7</c:f>
              <c:numCache>
                <c:formatCode>_([$$-409]* #,##0.00_);_([$$-409]* \(#,##0.00\);_([$$-409]* "-"??_);_(@_)</c:formatCode>
                <c:ptCount val="5"/>
                <c:pt idx="0">
                  <c:v>80992.089999999982</c:v>
                </c:pt>
                <c:pt idx="1">
                  <c:v>96321.530000000028</c:v>
                </c:pt>
                <c:pt idx="2">
                  <c:v>79167.41</c:v>
                </c:pt>
                <c:pt idx="3">
                  <c:v>97348.99000000002</c:v>
                </c:pt>
                <c:pt idx="4">
                  <c:v>86954.549999999988</c:v>
                </c:pt>
              </c:numCache>
            </c:numRef>
          </c:val>
          <c:extLst>
            <c:ext xmlns:c16="http://schemas.microsoft.com/office/drawing/2014/chart" uri="{C3380CC4-5D6E-409C-BE32-E72D297353CC}">
              <c16:uniqueId val="{00000000-4097-564C-A8BB-CA4C8292BD72}"/>
            </c:ext>
          </c:extLst>
        </c:ser>
        <c:dLbls>
          <c:showLegendKey val="0"/>
          <c:showVal val="0"/>
          <c:showCatName val="0"/>
          <c:showSerName val="0"/>
          <c:showPercent val="0"/>
          <c:showBubbleSize val="0"/>
        </c:dLbls>
        <c:gapWidth val="100"/>
        <c:overlap val="-27"/>
        <c:axId val="444514703"/>
        <c:axId val="444191055"/>
      </c:barChart>
      <c:catAx>
        <c:axId val="44451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91055"/>
        <c:crosses val="autoZero"/>
        <c:auto val="1"/>
        <c:lblAlgn val="ctr"/>
        <c:lblOffset val="100"/>
        <c:noMultiLvlLbl val="0"/>
      </c:catAx>
      <c:valAx>
        <c:axId val="44419105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project.xlsx]Profit by State!PivotTable3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by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E0E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45D3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State'!$C$2:$C$3</c:f>
              <c:strCache>
                <c:ptCount val="1"/>
                <c:pt idx="0">
                  <c:v>Clothing</c:v>
                </c:pt>
              </c:strCache>
            </c:strRef>
          </c:tx>
          <c:spPr>
            <a:solidFill>
              <a:schemeClr val="accent1"/>
            </a:solidFill>
            <a:ln>
              <a:noFill/>
            </a:ln>
            <a:effectLst/>
          </c:spPr>
          <c:invertIfNegative val="0"/>
          <c:cat>
            <c:strRef>
              <c:f>'Profit by State'!$B$4:$B$15</c:f>
              <c:strCache>
                <c:ptCount val="12"/>
                <c:pt idx="0">
                  <c:v>Washington</c:v>
                </c:pt>
                <c:pt idx="1">
                  <c:v>Texas</c:v>
                </c:pt>
                <c:pt idx="2">
                  <c:v>Pennsylvania</c:v>
                </c:pt>
                <c:pt idx="3">
                  <c:v>North Carolina</c:v>
                </c:pt>
                <c:pt idx="4">
                  <c:v>New York</c:v>
                </c:pt>
                <c:pt idx="5">
                  <c:v>Nevada</c:v>
                </c:pt>
                <c:pt idx="6">
                  <c:v>Michigan</c:v>
                </c:pt>
                <c:pt idx="7">
                  <c:v>Massachusetts</c:v>
                </c:pt>
                <c:pt idx="8">
                  <c:v>Illinois</c:v>
                </c:pt>
                <c:pt idx="9">
                  <c:v>Georgia</c:v>
                </c:pt>
                <c:pt idx="10">
                  <c:v>Florida</c:v>
                </c:pt>
                <c:pt idx="11">
                  <c:v>California</c:v>
                </c:pt>
              </c:strCache>
            </c:strRef>
          </c:cat>
          <c:val>
            <c:numRef>
              <c:f>'Profit by State'!$C$4:$C$15</c:f>
              <c:numCache>
                <c:formatCode>_([$$-409]* #,##0.00_);_([$$-409]* \(#,##0.00\);_([$$-409]* "-"??_);_(@_)</c:formatCode>
                <c:ptCount val="12"/>
                <c:pt idx="0">
                  <c:v>785.56999999999994</c:v>
                </c:pt>
                <c:pt idx="1">
                  <c:v>46.62</c:v>
                </c:pt>
                <c:pt idx="2">
                  <c:v>3085.83</c:v>
                </c:pt>
                <c:pt idx="3">
                  <c:v>1080.01</c:v>
                </c:pt>
                <c:pt idx="4">
                  <c:v>2690.91</c:v>
                </c:pt>
                <c:pt idx="5">
                  <c:v>2589.8500000000004</c:v>
                </c:pt>
                <c:pt idx="6">
                  <c:v>284.81</c:v>
                </c:pt>
                <c:pt idx="7">
                  <c:v>1852.6399999999999</c:v>
                </c:pt>
                <c:pt idx="8">
                  <c:v>3167.8900000000003</c:v>
                </c:pt>
                <c:pt idx="9">
                  <c:v>796.64</c:v>
                </c:pt>
                <c:pt idx="10">
                  <c:v>2629.92</c:v>
                </c:pt>
                <c:pt idx="11">
                  <c:v>913.54</c:v>
                </c:pt>
              </c:numCache>
            </c:numRef>
          </c:val>
          <c:extLst>
            <c:ext xmlns:c16="http://schemas.microsoft.com/office/drawing/2014/chart" uri="{C3380CC4-5D6E-409C-BE32-E72D297353CC}">
              <c16:uniqueId val="{00000000-4133-394D-BD1F-FC501B49C633}"/>
            </c:ext>
          </c:extLst>
        </c:ser>
        <c:ser>
          <c:idx val="1"/>
          <c:order val="1"/>
          <c:tx>
            <c:strRef>
              <c:f>'Profit by State'!$D$2:$D$3</c:f>
              <c:strCache>
                <c:ptCount val="1"/>
                <c:pt idx="0">
                  <c:v>Electronics</c:v>
                </c:pt>
              </c:strCache>
            </c:strRef>
          </c:tx>
          <c:spPr>
            <a:solidFill>
              <a:schemeClr val="accent2"/>
            </a:solidFill>
            <a:ln>
              <a:noFill/>
            </a:ln>
            <a:effectLst/>
          </c:spPr>
          <c:invertIfNegative val="0"/>
          <c:cat>
            <c:strRef>
              <c:f>'Profit by State'!$B$4:$B$15</c:f>
              <c:strCache>
                <c:ptCount val="12"/>
                <c:pt idx="0">
                  <c:v>Washington</c:v>
                </c:pt>
                <c:pt idx="1">
                  <c:v>Texas</c:v>
                </c:pt>
                <c:pt idx="2">
                  <c:v>Pennsylvania</c:v>
                </c:pt>
                <c:pt idx="3">
                  <c:v>North Carolina</c:v>
                </c:pt>
                <c:pt idx="4">
                  <c:v>New York</c:v>
                </c:pt>
                <c:pt idx="5">
                  <c:v>Nevada</c:v>
                </c:pt>
                <c:pt idx="6">
                  <c:v>Michigan</c:v>
                </c:pt>
                <c:pt idx="7">
                  <c:v>Massachusetts</c:v>
                </c:pt>
                <c:pt idx="8">
                  <c:v>Illinois</c:v>
                </c:pt>
                <c:pt idx="9">
                  <c:v>Georgia</c:v>
                </c:pt>
                <c:pt idx="10">
                  <c:v>Florida</c:v>
                </c:pt>
                <c:pt idx="11">
                  <c:v>California</c:v>
                </c:pt>
              </c:strCache>
            </c:strRef>
          </c:cat>
          <c:val>
            <c:numRef>
              <c:f>'Profit by State'!$D$4:$D$15</c:f>
              <c:numCache>
                <c:formatCode>_([$$-409]* #,##0.00_);_([$$-409]* \(#,##0.00\);_([$$-409]* "-"??_);_(@_)</c:formatCode>
                <c:ptCount val="12"/>
                <c:pt idx="1">
                  <c:v>390.52</c:v>
                </c:pt>
                <c:pt idx="3">
                  <c:v>1277.1099999999999</c:v>
                </c:pt>
                <c:pt idx="4">
                  <c:v>296.83999999999997</c:v>
                </c:pt>
                <c:pt idx="5">
                  <c:v>2500.65</c:v>
                </c:pt>
                <c:pt idx="6">
                  <c:v>1650.92</c:v>
                </c:pt>
                <c:pt idx="7">
                  <c:v>441.17</c:v>
                </c:pt>
                <c:pt idx="8">
                  <c:v>1042.69</c:v>
                </c:pt>
                <c:pt idx="9">
                  <c:v>830.93000000000006</c:v>
                </c:pt>
                <c:pt idx="10">
                  <c:v>1705.35</c:v>
                </c:pt>
                <c:pt idx="11">
                  <c:v>1513.97</c:v>
                </c:pt>
              </c:numCache>
            </c:numRef>
          </c:val>
          <c:extLst>
            <c:ext xmlns:c16="http://schemas.microsoft.com/office/drawing/2014/chart" uri="{C3380CC4-5D6E-409C-BE32-E72D297353CC}">
              <c16:uniqueId val="{00000001-4133-394D-BD1F-FC501B49C633}"/>
            </c:ext>
          </c:extLst>
        </c:ser>
        <c:ser>
          <c:idx val="2"/>
          <c:order val="2"/>
          <c:tx>
            <c:strRef>
              <c:f>'Profit by State'!$E$2:$E$3</c:f>
              <c:strCache>
                <c:ptCount val="1"/>
                <c:pt idx="0">
                  <c:v>Groceries</c:v>
                </c:pt>
              </c:strCache>
            </c:strRef>
          </c:tx>
          <c:spPr>
            <a:solidFill>
              <a:srgbClr val="00E0E3"/>
            </a:solidFill>
            <a:ln>
              <a:noFill/>
            </a:ln>
            <a:effectLst/>
          </c:spPr>
          <c:invertIfNegative val="0"/>
          <c:cat>
            <c:strRef>
              <c:f>'Profit by State'!$B$4:$B$15</c:f>
              <c:strCache>
                <c:ptCount val="12"/>
                <c:pt idx="0">
                  <c:v>Washington</c:v>
                </c:pt>
                <c:pt idx="1">
                  <c:v>Texas</c:v>
                </c:pt>
                <c:pt idx="2">
                  <c:v>Pennsylvania</c:v>
                </c:pt>
                <c:pt idx="3">
                  <c:v>North Carolina</c:v>
                </c:pt>
                <c:pt idx="4">
                  <c:v>New York</c:v>
                </c:pt>
                <c:pt idx="5">
                  <c:v>Nevada</c:v>
                </c:pt>
                <c:pt idx="6">
                  <c:v>Michigan</c:v>
                </c:pt>
                <c:pt idx="7">
                  <c:v>Massachusetts</c:v>
                </c:pt>
                <c:pt idx="8">
                  <c:v>Illinois</c:v>
                </c:pt>
                <c:pt idx="9">
                  <c:v>Georgia</c:v>
                </c:pt>
                <c:pt idx="10">
                  <c:v>Florida</c:v>
                </c:pt>
                <c:pt idx="11">
                  <c:v>California</c:v>
                </c:pt>
              </c:strCache>
            </c:strRef>
          </c:cat>
          <c:val>
            <c:numRef>
              <c:f>'Profit by State'!$E$4:$E$15</c:f>
              <c:numCache>
                <c:formatCode>_([$$-409]* #,##0.00_);_([$$-409]* \(#,##0.00\);_([$$-409]* "-"??_);_(@_)</c:formatCode>
                <c:ptCount val="12"/>
                <c:pt idx="0">
                  <c:v>856.69</c:v>
                </c:pt>
                <c:pt idx="1">
                  <c:v>2371.9700000000003</c:v>
                </c:pt>
                <c:pt idx="2">
                  <c:v>2138.33</c:v>
                </c:pt>
                <c:pt idx="3">
                  <c:v>248.66</c:v>
                </c:pt>
                <c:pt idx="4">
                  <c:v>958.15</c:v>
                </c:pt>
                <c:pt idx="5">
                  <c:v>2668.7799999999997</c:v>
                </c:pt>
                <c:pt idx="6">
                  <c:v>1622.3400000000001</c:v>
                </c:pt>
                <c:pt idx="7">
                  <c:v>680.88</c:v>
                </c:pt>
                <c:pt idx="8">
                  <c:v>2477.3999999999996</c:v>
                </c:pt>
                <c:pt idx="9">
                  <c:v>813.13</c:v>
                </c:pt>
                <c:pt idx="10">
                  <c:v>125.49</c:v>
                </c:pt>
                <c:pt idx="11">
                  <c:v>483.36999999999995</c:v>
                </c:pt>
              </c:numCache>
            </c:numRef>
          </c:val>
          <c:extLst>
            <c:ext xmlns:c16="http://schemas.microsoft.com/office/drawing/2014/chart" uri="{C3380CC4-5D6E-409C-BE32-E72D297353CC}">
              <c16:uniqueId val="{00000002-4133-394D-BD1F-FC501B49C633}"/>
            </c:ext>
          </c:extLst>
        </c:ser>
        <c:ser>
          <c:idx val="3"/>
          <c:order val="3"/>
          <c:tx>
            <c:strRef>
              <c:f>'Profit by State'!$F$2:$F$3</c:f>
              <c:strCache>
                <c:ptCount val="1"/>
                <c:pt idx="0">
                  <c:v>Home &amp; Kitchen</c:v>
                </c:pt>
              </c:strCache>
            </c:strRef>
          </c:tx>
          <c:spPr>
            <a:solidFill>
              <a:srgbClr val="845D34"/>
            </a:solidFill>
            <a:ln>
              <a:noFill/>
            </a:ln>
            <a:effectLst/>
          </c:spPr>
          <c:invertIfNegative val="0"/>
          <c:cat>
            <c:strRef>
              <c:f>'Profit by State'!$B$4:$B$15</c:f>
              <c:strCache>
                <c:ptCount val="12"/>
                <c:pt idx="0">
                  <c:v>Washington</c:v>
                </c:pt>
                <c:pt idx="1">
                  <c:v>Texas</c:v>
                </c:pt>
                <c:pt idx="2">
                  <c:v>Pennsylvania</c:v>
                </c:pt>
                <c:pt idx="3">
                  <c:v>North Carolina</c:v>
                </c:pt>
                <c:pt idx="4">
                  <c:v>New York</c:v>
                </c:pt>
                <c:pt idx="5">
                  <c:v>Nevada</c:v>
                </c:pt>
                <c:pt idx="6">
                  <c:v>Michigan</c:v>
                </c:pt>
                <c:pt idx="7">
                  <c:v>Massachusetts</c:v>
                </c:pt>
                <c:pt idx="8">
                  <c:v>Illinois</c:v>
                </c:pt>
                <c:pt idx="9">
                  <c:v>Georgia</c:v>
                </c:pt>
                <c:pt idx="10">
                  <c:v>Florida</c:v>
                </c:pt>
                <c:pt idx="11">
                  <c:v>California</c:v>
                </c:pt>
              </c:strCache>
            </c:strRef>
          </c:cat>
          <c:val>
            <c:numRef>
              <c:f>'Profit by State'!$F$4:$F$15</c:f>
              <c:numCache>
                <c:formatCode>_([$$-409]* #,##0.00_);_([$$-409]* \(#,##0.00\);_([$$-409]* "-"??_);_(@_)</c:formatCode>
                <c:ptCount val="12"/>
                <c:pt idx="0">
                  <c:v>1943.91</c:v>
                </c:pt>
                <c:pt idx="1">
                  <c:v>174.54</c:v>
                </c:pt>
                <c:pt idx="2">
                  <c:v>1571.27</c:v>
                </c:pt>
                <c:pt idx="3">
                  <c:v>422.74</c:v>
                </c:pt>
                <c:pt idx="4">
                  <c:v>465.03999999999996</c:v>
                </c:pt>
                <c:pt idx="5">
                  <c:v>113.95</c:v>
                </c:pt>
                <c:pt idx="6">
                  <c:v>1107.6400000000001</c:v>
                </c:pt>
                <c:pt idx="7">
                  <c:v>2022.4899999999998</c:v>
                </c:pt>
                <c:pt idx="8">
                  <c:v>3354.55</c:v>
                </c:pt>
                <c:pt idx="9">
                  <c:v>557.53</c:v>
                </c:pt>
                <c:pt idx="10">
                  <c:v>1720.01</c:v>
                </c:pt>
                <c:pt idx="11">
                  <c:v>422.31</c:v>
                </c:pt>
              </c:numCache>
            </c:numRef>
          </c:val>
          <c:extLst>
            <c:ext xmlns:c16="http://schemas.microsoft.com/office/drawing/2014/chart" uri="{C3380CC4-5D6E-409C-BE32-E72D297353CC}">
              <c16:uniqueId val="{00000003-4133-394D-BD1F-FC501B49C633}"/>
            </c:ext>
          </c:extLst>
        </c:ser>
        <c:dLbls>
          <c:showLegendKey val="0"/>
          <c:showVal val="0"/>
          <c:showCatName val="0"/>
          <c:showSerName val="0"/>
          <c:showPercent val="0"/>
          <c:showBubbleSize val="0"/>
        </c:dLbls>
        <c:gapWidth val="100"/>
        <c:overlap val="100"/>
        <c:axId val="449028079"/>
        <c:axId val="481269967"/>
      </c:barChart>
      <c:catAx>
        <c:axId val="44902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9967"/>
        <c:crosses val="autoZero"/>
        <c:auto val="1"/>
        <c:lblAlgn val="ctr"/>
        <c:lblOffset val="100"/>
        <c:noMultiLvlLbl val="0"/>
      </c:catAx>
      <c:valAx>
        <c:axId val="481269967"/>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2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70C0"/>
            </a:solidFill>
            <a:round/>
          </a:ln>
          <a:effectLst/>
        </c:spPr>
        <c:marker>
          <c:symbol val="square"/>
          <c:size val="5"/>
          <c:spPr>
            <a:solidFill>
              <a:srgbClr val="FFC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8575" cap="rnd">
              <a:solidFill>
                <a:srgbClr val="0070C0"/>
              </a:solidFill>
              <a:round/>
            </a:ln>
            <a:effectLst/>
          </c:spPr>
          <c:marker>
            <c:symbol val="square"/>
            <c:size val="5"/>
            <c:spPr>
              <a:solidFill>
                <a:srgbClr val="FFC000"/>
              </a:solidFill>
              <a:ln w="9525">
                <a:noFill/>
              </a:ln>
              <a:effectLst/>
            </c:spPr>
          </c:marker>
          <c:cat>
            <c:multiLvlStrRef>
              <c:f>'Sales Trend'!$B$3:$B$17</c:f>
              <c:multiLvlStrCache>
                <c:ptCount val="13"/>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lvl>
                <c:lvl>
                  <c:pt idx="0">
                    <c:v>2024</c:v>
                  </c:pt>
                  <c:pt idx="7">
                    <c:v>2025</c:v>
                  </c:pt>
                </c:lvl>
              </c:multiLvlStrCache>
            </c:multiLvlStrRef>
          </c:cat>
          <c:val>
            <c:numRef>
              <c:f>'Sales Trend'!$C$3:$C$17</c:f>
              <c:numCache>
                <c:formatCode>_([$$-409]* #,##0.00_);_([$$-409]* \(#,##0.00\);_([$$-409]* "-"??_);_(@_)</c:formatCode>
                <c:ptCount val="13"/>
                <c:pt idx="0">
                  <c:v>48724.47</c:v>
                </c:pt>
                <c:pt idx="1">
                  <c:v>30232.649999999998</c:v>
                </c:pt>
                <c:pt idx="2">
                  <c:v>29853.75</c:v>
                </c:pt>
                <c:pt idx="3">
                  <c:v>27327.100000000006</c:v>
                </c:pt>
                <c:pt idx="4">
                  <c:v>37859.659999999996</c:v>
                </c:pt>
                <c:pt idx="5">
                  <c:v>18066.739999999998</c:v>
                </c:pt>
                <c:pt idx="6">
                  <c:v>61247.789999999994</c:v>
                </c:pt>
                <c:pt idx="7">
                  <c:v>35290.839999999997</c:v>
                </c:pt>
                <c:pt idx="8">
                  <c:v>46824.52</c:v>
                </c:pt>
                <c:pt idx="9">
                  <c:v>30041.190000000006</c:v>
                </c:pt>
                <c:pt idx="10">
                  <c:v>34186.880000000005</c:v>
                </c:pt>
                <c:pt idx="11">
                  <c:v>24930.030000000002</c:v>
                </c:pt>
                <c:pt idx="12">
                  <c:v>16198.95</c:v>
                </c:pt>
              </c:numCache>
            </c:numRef>
          </c:val>
          <c:smooth val="0"/>
          <c:extLst>
            <c:ext xmlns:c16="http://schemas.microsoft.com/office/drawing/2014/chart" uri="{C3380CC4-5D6E-409C-BE32-E72D297353CC}">
              <c16:uniqueId val="{00000000-68C6-7540-A5FB-233430023575}"/>
            </c:ext>
          </c:extLst>
        </c:ser>
        <c:dLbls>
          <c:showLegendKey val="0"/>
          <c:showVal val="0"/>
          <c:showCatName val="0"/>
          <c:showSerName val="0"/>
          <c:showPercent val="0"/>
          <c:showBubbleSize val="0"/>
        </c:dLbls>
        <c:marker val="1"/>
        <c:smooth val="0"/>
        <c:axId val="947144879"/>
        <c:axId val="947254831"/>
      </c:lineChart>
      <c:catAx>
        <c:axId val="94714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54831"/>
        <c:crosses val="autoZero"/>
        <c:auto val="1"/>
        <c:lblAlgn val="ctr"/>
        <c:lblOffset val="100"/>
        <c:noMultiLvlLbl val="0"/>
      </c:catAx>
      <c:valAx>
        <c:axId val="947254831"/>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14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project.xlsx]Profit by 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75000"/>
              <a:lumOff val="25000"/>
            </a:schemeClr>
          </a:solidFill>
          <a:ln>
            <a:noFill/>
          </a:ln>
          <a:effectLst/>
        </c:spPr>
      </c:pivotFmt>
      <c:pivotFmt>
        <c:idx val="4"/>
        <c:spPr>
          <a:solidFill>
            <a:schemeClr val="tx2">
              <a:lumMod val="75000"/>
              <a:lumOff val="25000"/>
            </a:schemeClr>
          </a:solidFill>
          <a:ln>
            <a:noFill/>
          </a:ln>
          <a:effectLst/>
        </c:spPr>
      </c:pivotFmt>
    </c:pivotFmts>
    <c:plotArea>
      <c:layout/>
      <c:barChart>
        <c:barDir val="col"/>
        <c:grouping val="clustered"/>
        <c:varyColors val="0"/>
        <c:ser>
          <c:idx val="0"/>
          <c:order val="0"/>
          <c:tx>
            <c:strRef>
              <c:f>'Profit by Category'!$C$2</c:f>
              <c:strCache>
                <c:ptCount val="1"/>
                <c:pt idx="0">
                  <c:v>Total</c:v>
                </c:pt>
              </c:strCache>
            </c:strRef>
          </c:tx>
          <c:spPr>
            <a:solidFill>
              <a:schemeClr val="tx2">
                <a:lumMod val="75000"/>
                <a:lumOff val="25000"/>
              </a:schemeClr>
            </a:solidFill>
            <a:ln>
              <a:noFill/>
            </a:ln>
            <a:effectLst/>
          </c:spPr>
          <c:invertIfNegative val="0"/>
          <c:cat>
            <c:strRef>
              <c:f>'Profit by Category'!$B$3:$B$6</c:f>
              <c:strCache>
                <c:ptCount val="4"/>
                <c:pt idx="0">
                  <c:v>Clothing</c:v>
                </c:pt>
                <c:pt idx="1">
                  <c:v>Home &amp; Kitchen</c:v>
                </c:pt>
                <c:pt idx="2">
                  <c:v>Electronics</c:v>
                </c:pt>
                <c:pt idx="3">
                  <c:v>Groceries</c:v>
                </c:pt>
              </c:strCache>
            </c:strRef>
          </c:cat>
          <c:val>
            <c:numRef>
              <c:f>'Profit by Category'!$C$3:$C$6</c:f>
              <c:numCache>
                <c:formatCode>_([$$-409]* #,##0.00_);_([$$-409]* \(#,##0.00\);_([$$-409]* "-"??_);_(@_)</c:formatCode>
                <c:ptCount val="4"/>
                <c:pt idx="0">
                  <c:v>2629.92</c:v>
                </c:pt>
                <c:pt idx="1">
                  <c:v>1720.01</c:v>
                </c:pt>
                <c:pt idx="2">
                  <c:v>1705.35</c:v>
                </c:pt>
                <c:pt idx="3">
                  <c:v>125.49</c:v>
                </c:pt>
              </c:numCache>
            </c:numRef>
          </c:val>
          <c:extLst>
            <c:ext xmlns:c16="http://schemas.microsoft.com/office/drawing/2014/chart" uri="{C3380CC4-5D6E-409C-BE32-E72D297353CC}">
              <c16:uniqueId val="{00000000-353B-844D-97BC-DAB7061E1CD9}"/>
            </c:ext>
          </c:extLst>
        </c:ser>
        <c:dLbls>
          <c:showLegendKey val="0"/>
          <c:showVal val="0"/>
          <c:showCatName val="0"/>
          <c:showSerName val="0"/>
          <c:showPercent val="0"/>
          <c:showBubbleSize val="0"/>
        </c:dLbls>
        <c:gapWidth val="100"/>
        <c:overlap val="-27"/>
        <c:axId val="947346831"/>
        <c:axId val="953316815"/>
      </c:barChart>
      <c:catAx>
        <c:axId val="94734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16815"/>
        <c:crosses val="autoZero"/>
        <c:auto val="1"/>
        <c:lblAlgn val="ctr"/>
        <c:lblOffset val="100"/>
        <c:noMultiLvlLbl val="0"/>
      </c:catAx>
      <c:valAx>
        <c:axId val="95331681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4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project.xlsx]Payment Method Distribution!PivotTable6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432FF"/>
          </a:solidFill>
          <a:ln w="19050">
            <a:solidFill>
              <a:schemeClr val="lt1"/>
            </a:solidFill>
          </a:ln>
          <a:effectLst/>
        </c:spPr>
      </c:pivotFmt>
      <c:pivotFmt>
        <c:idx val="2"/>
        <c:spPr>
          <a:solidFill>
            <a:srgbClr val="FF9300"/>
          </a:solidFill>
          <a:ln w="19050">
            <a:solidFill>
              <a:schemeClr val="lt1"/>
            </a:solidFill>
          </a:ln>
          <a:effectLst/>
        </c:spPr>
      </c:pivotFmt>
      <c:pivotFmt>
        <c:idx val="3"/>
        <c:spPr>
          <a:solidFill>
            <a:srgbClr val="00E0E3"/>
          </a:solidFill>
          <a:ln w="19050">
            <a:solidFill>
              <a:schemeClr val="lt1"/>
            </a:solidFill>
          </a:ln>
          <a:effectLst/>
        </c:spPr>
      </c:pivotFmt>
      <c:pivotFmt>
        <c:idx val="4"/>
        <c:spPr>
          <a:solidFill>
            <a:srgbClr val="845D34"/>
          </a:solidFill>
          <a:ln w="19050">
            <a:solidFill>
              <a:schemeClr val="lt1"/>
            </a:solidFill>
          </a:ln>
          <a:effectLst/>
        </c:spPr>
      </c:pivotFmt>
    </c:pivotFmts>
    <c:plotArea>
      <c:layout/>
      <c:doughnutChart>
        <c:varyColors val="1"/>
        <c:ser>
          <c:idx val="0"/>
          <c:order val="0"/>
          <c:tx>
            <c:strRef>
              <c:f>'Payment Method Distribution'!$C$2</c:f>
              <c:strCache>
                <c:ptCount val="1"/>
                <c:pt idx="0">
                  <c:v>Total</c:v>
                </c:pt>
              </c:strCache>
            </c:strRef>
          </c:tx>
          <c:dPt>
            <c:idx val="0"/>
            <c:bubble3D val="0"/>
            <c:spPr>
              <a:solidFill>
                <a:srgbClr val="0432FF"/>
              </a:solidFill>
              <a:ln w="19050">
                <a:solidFill>
                  <a:schemeClr val="lt1"/>
                </a:solidFill>
              </a:ln>
              <a:effectLst/>
            </c:spPr>
            <c:extLst>
              <c:ext xmlns:c16="http://schemas.microsoft.com/office/drawing/2014/chart" uri="{C3380CC4-5D6E-409C-BE32-E72D297353CC}">
                <c16:uniqueId val="{00000002-4CC9-8047-9CC3-273495F17285}"/>
              </c:ext>
            </c:extLst>
          </c:dPt>
          <c:dPt>
            <c:idx val="1"/>
            <c:bubble3D val="0"/>
            <c:spPr>
              <a:solidFill>
                <a:srgbClr val="FF9300"/>
              </a:solidFill>
              <a:ln w="19050">
                <a:solidFill>
                  <a:schemeClr val="lt1"/>
                </a:solidFill>
              </a:ln>
              <a:effectLst/>
            </c:spPr>
            <c:extLst>
              <c:ext xmlns:c16="http://schemas.microsoft.com/office/drawing/2014/chart" uri="{C3380CC4-5D6E-409C-BE32-E72D297353CC}">
                <c16:uniqueId val="{00000003-4CC9-8047-9CC3-273495F17285}"/>
              </c:ext>
            </c:extLst>
          </c:dPt>
          <c:dPt>
            <c:idx val="2"/>
            <c:bubble3D val="0"/>
            <c:spPr>
              <a:solidFill>
                <a:srgbClr val="00E0E3"/>
              </a:solidFill>
              <a:ln w="19050">
                <a:solidFill>
                  <a:schemeClr val="lt1"/>
                </a:solidFill>
              </a:ln>
              <a:effectLst/>
            </c:spPr>
            <c:extLst>
              <c:ext xmlns:c16="http://schemas.microsoft.com/office/drawing/2014/chart" uri="{C3380CC4-5D6E-409C-BE32-E72D297353CC}">
                <c16:uniqueId val="{00000004-4CC9-8047-9CC3-273495F17285}"/>
              </c:ext>
            </c:extLst>
          </c:dPt>
          <c:dPt>
            <c:idx val="3"/>
            <c:bubble3D val="0"/>
            <c:spPr>
              <a:solidFill>
                <a:srgbClr val="845D34"/>
              </a:solidFill>
              <a:ln w="19050">
                <a:solidFill>
                  <a:schemeClr val="lt1"/>
                </a:solidFill>
              </a:ln>
              <a:effectLst/>
            </c:spPr>
            <c:extLst>
              <c:ext xmlns:c16="http://schemas.microsoft.com/office/drawing/2014/chart" uri="{C3380CC4-5D6E-409C-BE32-E72D297353CC}">
                <c16:uniqueId val="{00000005-4CC9-8047-9CC3-273495F172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Distribution'!$B$3:$B$6</c:f>
              <c:strCache>
                <c:ptCount val="4"/>
                <c:pt idx="0">
                  <c:v>Bank Transfer</c:v>
                </c:pt>
                <c:pt idx="1">
                  <c:v>Cash</c:v>
                </c:pt>
                <c:pt idx="2">
                  <c:v>Credit Card</c:v>
                </c:pt>
                <c:pt idx="3">
                  <c:v>Online Payment</c:v>
                </c:pt>
              </c:strCache>
            </c:strRef>
          </c:cat>
          <c:val>
            <c:numRef>
              <c:f>'Payment Method Distribution'!$C$3:$C$6</c:f>
              <c:numCache>
                <c:formatCode>_([$$-409]* #,##0.00_);_([$$-409]* \(#,##0.00\);_([$$-409]* "-"??_);_(@_)</c:formatCode>
                <c:ptCount val="4"/>
                <c:pt idx="0">
                  <c:v>104408.52999999998</c:v>
                </c:pt>
                <c:pt idx="1">
                  <c:v>73828.440000000017</c:v>
                </c:pt>
                <c:pt idx="2">
                  <c:v>128667.73000000001</c:v>
                </c:pt>
                <c:pt idx="3">
                  <c:v>133879.87</c:v>
                </c:pt>
              </c:numCache>
            </c:numRef>
          </c:val>
          <c:extLst>
            <c:ext xmlns:c16="http://schemas.microsoft.com/office/drawing/2014/chart" uri="{C3380CC4-5D6E-409C-BE32-E72D297353CC}">
              <c16:uniqueId val="{00000000-4CC9-8047-9CC3-273495F1728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by City!PivotTable7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City'!$C$2</c:f>
              <c:strCache>
                <c:ptCount val="1"/>
                <c:pt idx="0">
                  <c:v>Total</c:v>
                </c:pt>
              </c:strCache>
            </c:strRef>
          </c:tx>
          <c:spPr>
            <a:solidFill>
              <a:srgbClr val="0432FF"/>
            </a:solidFill>
            <a:ln>
              <a:noFill/>
            </a:ln>
            <a:effectLst/>
          </c:spPr>
          <c:invertIfNegative val="0"/>
          <c:cat>
            <c:strRef>
              <c:f>'Sales by City'!$B$3:$B$12</c:f>
              <c:strCache>
                <c:ptCount val="10"/>
                <c:pt idx="0">
                  <c:v>Springfield</c:v>
                </c:pt>
                <c:pt idx="1">
                  <c:v>Las Vegas</c:v>
                </c:pt>
                <c:pt idx="2">
                  <c:v>Orlando</c:v>
                </c:pt>
                <c:pt idx="3">
                  <c:v>Pittsburgh</c:v>
                </c:pt>
                <c:pt idx="4">
                  <c:v>Worcester</c:v>
                </c:pt>
                <c:pt idx="5">
                  <c:v>Philadelphia</c:v>
                </c:pt>
                <c:pt idx="6">
                  <c:v>Grand Rapids</c:v>
                </c:pt>
                <c:pt idx="7">
                  <c:v>San Francisco</c:v>
                </c:pt>
                <c:pt idx="8">
                  <c:v>Buffalo</c:v>
                </c:pt>
                <c:pt idx="9">
                  <c:v>Reno</c:v>
                </c:pt>
              </c:strCache>
            </c:strRef>
          </c:cat>
          <c:val>
            <c:numRef>
              <c:f>'Sales by City'!$C$3:$C$12</c:f>
              <c:numCache>
                <c:formatCode>_([$$-409]* #,##0.00_);_([$$-409]* \(#,##0.00\);_([$$-409]* "-"??_);_(@_)</c:formatCode>
                <c:ptCount val="10"/>
                <c:pt idx="0">
                  <c:v>49238.000000000007</c:v>
                </c:pt>
                <c:pt idx="1">
                  <c:v>33258.94</c:v>
                </c:pt>
                <c:pt idx="2">
                  <c:v>30051.760000000006</c:v>
                </c:pt>
                <c:pt idx="3">
                  <c:v>25809.13</c:v>
                </c:pt>
                <c:pt idx="4">
                  <c:v>25613.29</c:v>
                </c:pt>
                <c:pt idx="5">
                  <c:v>21238.199999999997</c:v>
                </c:pt>
                <c:pt idx="6">
                  <c:v>20734.259999999998</c:v>
                </c:pt>
                <c:pt idx="7">
                  <c:v>19298.050000000003</c:v>
                </c:pt>
                <c:pt idx="8">
                  <c:v>18626.680000000004</c:v>
                </c:pt>
                <c:pt idx="9">
                  <c:v>18146.719999999998</c:v>
                </c:pt>
              </c:numCache>
            </c:numRef>
          </c:val>
          <c:extLst>
            <c:ext xmlns:c16="http://schemas.microsoft.com/office/drawing/2014/chart" uri="{C3380CC4-5D6E-409C-BE32-E72D297353CC}">
              <c16:uniqueId val="{00000000-3DF6-834A-9667-F244DA68A639}"/>
            </c:ext>
          </c:extLst>
        </c:ser>
        <c:dLbls>
          <c:showLegendKey val="0"/>
          <c:showVal val="0"/>
          <c:showCatName val="0"/>
          <c:showSerName val="0"/>
          <c:showPercent val="0"/>
          <c:showBubbleSize val="0"/>
        </c:dLbls>
        <c:gapWidth val="100"/>
        <c:overlap val="-27"/>
        <c:axId val="1003103871"/>
        <c:axId val="948436895"/>
      </c:barChart>
      <c:catAx>
        <c:axId val="100310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36895"/>
        <c:crosses val="autoZero"/>
        <c:auto val="1"/>
        <c:lblAlgn val="ctr"/>
        <c:lblOffset val="100"/>
        <c:noMultiLvlLbl val="0"/>
      </c:catAx>
      <c:valAx>
        <c:axId val="94843689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10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by Subcategory!PivotTable8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Subcategory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Subcategory'!$C$2</c:f>
              <c:strCache>
                <c:ptCount val="1"/>
                <c:pt idx="0">
                  <c:v>Total</c:v>
                </c:pt>
              </c:strCache>
            </c:strRef>
          </c:tx>
          <c:spPr>
            <a:solidFill>
              <a:srgbClr val="0432FF"/>
            </a:solidFill>
            <a:ln>
              <a:noFill/>
            </a:ln>
            <a:effectLst/>
          </c:spPr>
          <c:invertIfNegative val="0"/>
          <c:cat>
            <c:strRef>
              <c:f>'Sales by Subcategory'!$B$3:$B$15</c:f>
              <c:strCache>
                <c:ptCount val="13"/>
                <c:pt idx="0">
                  <c:v>Women</c:v>
                </c:pt>
                <c:pt idx="1">
                  <c:v>Vegetables</c:v>
                </c:pt>
                <c:pt idx="2">
                  <c:v>Utensils</c:v>
                </c:pt>
                <c:pt idx="3">
                  <c:v>Snacks</c:v>
                </c:pt>
                <c:pt idx="4">
                  <c:v>Phones</c:v>
                </c:pt>
                <c:pt idx="5">
                  <c:v>Men</c:v>
                </c:pt>
                <c:pt idx="6">
                  <c:v>Kids</c:v>
                </c:pt>
                <c:pt idx="7">
                  <c:v>Furniture</c:v>
                </c:pt>
                <c:pt idx="8">
                  <c:v>Fruits</c:v>
                </c:pt>
                <c:pt idx="9">
                  <c:v>Decor</c:v>
                </c:pt>
                <c:pt idx="10">
                  <c:v>Dairy</c:v>
                </c:pt>
                <c:pt idx="11">
                  <c:v>Appliances</c:v>
                </c:pt>
                <c:pt idx="12">
                  <c:v>Accessories</c:v>
                </c:pt>
              </c:strCache>
            </c:strRef>
          </c:cat>
          <c:val>
            <c:numRef>
              <c:f>'Sales by Subcategory'!$C$3:$C$15</c:f>
              <c:numCache>
                <c:formatCode>_([$$-409]* #,##0.00_);_([$$-409]* \(#,##0.00\);_([$$-409]* "-"??_);_(@_)</c:formatCode>
                <c:ptCount val="13"/>
                <c:pt idx="0">
                  <c:v>43065.02</c:v>
                </c:pt>
                <c:pt idx="1">
                  <c:v>34125.07</c:v>
                </c:pt>
                <c:pt idx="2">
                  <c:v>32289.719999999998</c:v>
                </c:pt>
                <c:pt idx="3">
                  <c:v>23550.059999999998</c:v>
                </c:pt>
                <c:pt idx="4">
                  <c:v>33063.82</c:v>
                </c:pt>
                <c:pt idx="5">
                  <c:v>69148.72</c:v>
                </c:pt>
                <c:pt idx="6">
                  <c:v>35789.729999999996</c:v>
                </c:pt>
                <c:pt idx="7">
                  <c:v>35070.259999999995</c:v>
                </c:pt>
                <c:pt idx="8">
                  <c:v>27080.45</c:v>
                </c:pt>
                <c:pt idx="9">
                  <c:v>28309.26</c:v>
                </c:pt>
                <c:pt idx="10">
                  <c:v>24943.51</c:v>
                </c:pt>
                <c:pt idx="11">
                  <c:v>38646.85</c:v>
                </c:pt>
                <c:pt idx="12">
                  <c:v>15702.1</c:v>
                </c:pt>
              </c:numCache>
            </c:numRef>
          </c:val>
          <c:extLst>
            <c:ext xmlns:c16="http://schemas.microsoft.com/office/drawing/2014/chart" uri="{C3380CC4-5D6E-409C-BE32-E72D297353CC}">
              <c16:uniqueId val="{00000000-395C-A142-BA55-0B5267B94813}"/>
            </c:ext>
          </c:extLst>
        </c:ser>
        <c:dLbls>
          <c:showLegendKey val="0"/>
          <c:showVal val="0"/>
          <c:showCatName val="0"/>
          <c:showSerName val="0"/>
          <c:showPercent val="0"/>
          <c:showBubbleSize val="0"/>
        </c:dLbls>
        <c:gapWidth val="100"/>
        <c:overlap val="-27"/>
        <c:axId val="992068751"/>
        <c:axId val="992633599"/>
      </c:barChart>
      <c:catAx>
        <c:axId val="99206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33599"/>
        <c:crosses val="autoZero"/>
        <c:auto val="1"/>
        <c:lblAlgn val="ctr"/>
        <c:lblOffset val="100"/>
        <c:noMultiLvlLbl val="0"/>
      </c:catAx>
      <c:valAx>
        <c:axId val="992633599"/>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project.xlsx]Sales by Region!PivotTable9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3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E0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45D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Region'!$C$2:$C$3</c:f>
              <c:strCache>
                <c:ptCount val="1"/>
                <c:pt idx="0">
                  <c:v>Clothing</c:v>
                </c:pt>
              </c:strCache>
            </c:strRef>
          </c:tx>
          <c:spPr>
            <a:solidFill>
              <a:srgbClr val="0432FF"/>
            </a:solidFill>
            <a:ln>
              <a:noFill/>
            </a:ln>
            <a:effectLst/>
          </c:spPr>
          <c:invertIfNegative val="0"/>
          <c:cat>
            <c:strRef>
              <c:f>'Sales by Region'!$B$4:$B$7</c:f>
              <c:strCache>
                <c:ptCount val="4"/>
                <c:pt idx="0">
                  <c:v>Central</c:v>
                </c:pt>
                <c:pt idx="1">
                  <c:v>East</c:v>
                </c:pt>
                <c:pt idx="2">
                  <c:v>West</c:v>
                </c:pt>
                <c:pt idx="3">
                  <c:v>South</c:v>
                </c:pt>
              </c:strCache>
            </c:strRef>
          </c:cat>
          <c:val>
            <c:numRef>
              <c:f>'Sales by Region'!$C$4:$C$7</c:f>
              <c:numCache>
                <c:formatCode>_([$$-409]* #,##0.00_);_([$$-409]* \(#,##0.00\);_([$$-409]* "-"??_);_(@_)</c:formatCode>
                <c:ptCount val="4"/>
                <c:pt idx="0">
                  <c:v>22262.28</c:v>
                </c:pt>
                <c:pt idx="1">
                  <c:v>55637.12999999999</c:v>
                </c:pt>
                <c:pt idx="2">
                  <c:v>37160.479999999996</c:v>
                </c:pt>
                <c:pt idx="3">
                  <c:v>32943.58</c:v>
                </c:pt>
              </c:numCache>
            </c:numRef>
          </c:val>
          <c:extLst>
            <c:ext xmlns:c16="http://schemas.microsoft.com/office/drawing/2014/chart" uri="{C3380CC4-5D6E-409C-BE32-E72D297353CC}">
              <c16:uniqueId val="{00000000-8C3C-FA45-B09B-16560BDC3317}"/>
            </c:ext>
          </c:extLst>
        </c:ser>
        <c:ser>
          <c:idx val="1"/>
          <c:order val="1"/>
          <c:tx>
            <c:strRef>
              <c:f>'Sales by Region'!$D$2:$D$3</c:f>
              <c:strCache>
                <c:ptCount val="1"/>
                <c:pt idx="0">
                  <c:v>Electronics</c:v>
                </c:pt>
              </c:strCache>
            </c:strRef>
          </c:tx>
          <c:spPr>
            <a:solidFill>
              <a:srgbClr val="FF9300"/>
            </a:solidFill>
            <a:ln>
              <a:noFill/>
            </a:ln>
            <a:effectLst/>
          </c:spPr>
          <c:invertIfNegative val="0"/>
          <c:cat>
            <c:strRef>
              <c:f>'Sales by Region'!$B$4:$B$7</c:f>
              <c:strCache>
                <c:ptCount val="4"/>
                <c:pt idx="0">
                  <c:v>Central</c:v>
                </c:pt>
                <c:pt idx="1">
                  <c:v>East</c:v>
                </c:pt>
                <c:pt idx="2">
                  <c:v>West</c:v>
                </c:pt>
                <c:pt idx="3">
                  <c:v>South</c:v>
                </c:pt>
              </c:strCache>
            </c:strRef>
          </c:cat>
          <c:val>
            <c:numRef>
              <c:f>'Sales by Region'!$D$4:$D$7</c:f>
              <c:numCache>
                <c:formatCode>_([$$-409]* #,##0.00_);_([$$-409]* \(#,##0.00\);_([$$-409]* "-"??_);_(@_)</c:formatCode>
                <c:ptCount val="4"/>
                <c:pt idx="0">
                  <c:v>26200.98</c:v>
                </c:pt>
                <c:pt idx="1">
                  <c:v>5006.3</c:v>
                </c:pt>
                <c:pt idx="2">
                  <c:v>29165.909999999996</c:v>
                </c:pt>
                <c:pt idx="3">
                  <c:v>27039.579999999998</c:v>
                </c:pt>
              </c:numCache>
            </c:numRef>
          </c:val>
          <c:extLst>
            <c:ext xmlns:c16="http://schemas.microsoft.com/office/drawing/2014/chart" uri="{C3380CC4-5D6E-409C-BE32-E72D297353CC}">
              <c16:uniqueId val="{00000001-8C3C-FA45-B09B-16560BDC3317}"/>
            </c:ext>
          </c:extLst>
        </c:ser>
        <c:ser>
          <c:idx val="2"/>
          <c:order val="2"/>
          <c:tx>
            <c:strRef>
              <c:f>'Sales by Region'!$E$2:$E$3</c:f>
              <c:strCache>
                <c:ptCount val="1"/>
                <c:pt idx="0">
                  <c:v>Groceries</c:v>
                </c:pt>
              </c:strCache>
            </c:strRef>
          </c:tx>
          <c:spPr>
            <a:solidFill>
              <a:srgbClr val="00E0E3"/>
            </a:solidFill>
            <a:ln>
              <a:noFill/>
            </a:ln>
            <a:effectLst/>
          </c:spPr>
          <c:invertIfNegative val="0"/>
          <c:cat>
            <c:strRef>
              <c:f>'Sales by Region'!$B$4:$B$7</c:f>
              <c:strCache>
                <c:ptCount val="4"/>
                <c:pt idx="0">
                  <c:v>Central</c:v>
                </c:pt>
                <c:pt idx="1">
                  <c:v>East</c:v>
                </c:pt>
                <c:pt idx="2">
                  <c:v>West</c:v>
                </c:pt>
                <c:pt idx="3">
                  <c:v>South</c:v>
                </c:pt>
              </c:strCache>
            </c:strRef>
          </c:cat>
          <c:val>
            <c:numRef>
              <c:f>'Sales by Region'!$E$4:$E$7</c:f>
              <c:numCache>
                <c:formatCode>_([$$-409]* #,##0.00_);_([$$-409]* \(#,##0.00\);_([$$-409]* "-"??_);_(@_)</c:formatCode>
                <c:ptCount val="4"/>
                <c:pt idx="0">
                  <c:v>42193.52</c:v>
                </c:pt>
                <c:pt idx="1">
                  <c:v>24460.89</c:v>
                </c:pt>
                <c:pt idx="2">
                  <c:v>27788.04</c:v>
                </c:pt>
                <c:pt idx="3">
                  <c:v>15256.64</c:v>
                </c:pt>
              </c:numCache>
            </c:numRef>
          </c:val>
          <c:extLst>
            <c:ext xmlns:c16="http://schemas.microsoft.com/office/drawing/2014/chart" uri="{C3380CC4-5D6E-409C-BE32-E72D297353CC}">
              <c16:uniqueId val="{00000002-8C3C-FA45-B09B-16560BDC3317}"/>
            </c:ext>
          </c:extLst>
        </c:ser>
        <c:ser>
          <c:idx val="3"/>
          <c:order val="3"/>
          <c:tx>
            <c:strRef>
              <c:f>'Sales by Region'!$F$2:$F$3</c:f>
              <c:strCache>
                <c:ptCount val="1"/>
                <c:pt idx="0">
                  <c:v>Home &amp; Kitchen</c:v>
                </c:pt>
              </c:strCache>
            </c:strRef>
          </c:tx>
          <c:spPr>
            <a:solidFill>
              <a:srgbClr val="845D34"/>
            </a:solidFill>
            <a:ln>
              <a:noFill/>
            </a:ln>
            <a:effectLst/>
          </c:spPr>
          <c:invertIfNegative val="0"/>
          <c:cat>
            <c:strRef>
              <c:f>'Sales by Region'!$B$4:$B$7</c:f>
              <c:strCache>
                <c:ptCount val="4"/>
                <c:pt idx="0">
                  <c:v>Central</c:v>
                </c:pt>
                <c:pt idx="1">
                  <c:v>East</c:v>
                </c:pt>
                <c:pt idx="2">
                  <c:v>West</c:v>
                </c:pt>
                <c:pt idx="3">
                  <c:v>South</c:v>
                </c:pt>
              </c:strCache>
            </c:strRef>
          </c:cat>
          <c:val>
            <c:numRef>
              <c:f>'Sales by Region'!$F$4:$F$7</c:f>
              <c:numCache>
                <c:formatCode>_([$$-409]* #,##0.00_);_([$$-409]* \(#,##0.00\);_([$$-409]* "-"??_);_(@_)</c:formatCode>
                <c:ptCount val="4"/>
                <c:pt idx="0">
                  <c:v>30215.69</c:v>
                </c:pt>
                <c:pt idx="1">
                  <c:v>28968.689999999995</c:v>
                </c:pt>
                <c:pt idx="2">
                  <c:v>15237.18</c:v>
                </c:pt>
                <c:pt idx="3">
                  <c:v>21247.68</c:v>
                </c:pt>
              </c:numCache>
            </c:numRef>
          </c:val>
          <c:extLst>
            <c:ext xmlns:c16="http://schemas.microsoft.com/office/drawing/2014/chart" uri="{C3380CC4-5D6E-409C-BE32-E72D297353CC}">
              <c16:uniqueId val="{00000003-8C3C-FA45-B09B-16560BDC3317}"/>
            </c:ext>
          </c:extLst>
        </c:ser>
        <c:dLbls>
          <c:showLegendKey val="0"/>
          <c:showVal val="0"/>
          <c:showCatName val="0"/>
          <c:showSerName val="0"/>
          <c:showPercent val="0"/>
          <c:showBubbleSize val="0"/>
        </c:dLbls>
        <c:gapWidth val="200"/>
        <c:overlap val="-27"/>
        <c:axId val="1778525263"/>
        <c:axId val="943673935"/>
      </c:barChart>
      <c:catAx>
        <c:axId val="177852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73935"/>
        <c:crosses val="autoZero"/>
        <c:auto val="1"/>
        <c:lblAlgn val="ctr"/>
        <c:lblOffset val="100"/>
        <c:noMultiLvlLbl val="0"/>
      </c:catAx>
      <c:valAx>
        <c:axId val="94367393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2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0</xdr:rowOff>
    </xdr:from>
    <xdr:to>
      <xdr:col>24</xdr:col>
      <xdr:colOff>104140</xdr:colOff>
      <xdr:row>65</xdr:row>
      <xdr:rowOff>0</xdr:rowOff>
    </xdr:to>
    <xdr:sp macro="" textlink="">
      <xdr:nvSpPr>
        <xdr:cNvPr id="2" name="Rectangle 1">
          <a:extLst>
            <a:ext uri="{FF2B5EF4-FFF2-40B4-BE49-F238E27FC236}">
              <a16:creationId xmlns:a16="http://schemas.microsoft.com/office/drawing/2014/main" id="{482C15FD-08DA-69E8-578B-EF394193C3C7}"/>
            </a:ext>
          </a:extLst>
        </xdr:cNvPr>
        <xdr:cNvSpPr>
          <a:spLocks/>
        </xdr:cNvSpPr>
      </xdr:nvSpPr>
      <xdr:spPr>
        <a:xfrm>
          <a:off x="12700" y="0"/>
          <a:ext cx="20208240" cy="13208000"/>
        </a:xfrm>
        <a:prstGeom prst="rect">
          <a:avLst/>
        </a:prstGeom>
        <a:solidFill>
          <a:srgbClr val="FFE4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1100"/>
        </a:p>
      </xdr:txBody>
    </xdr:sp>
    <xdr:clientData/>
  </xdr:twoCellAnchor>
  <xdr:twoCellAnchor>
    <xdr:from>
      <xdr:col>0</xdr:col>
      <xdr:colOff>25009</xdr:colOff>
      <xdr:row>0</xdr:row>
      <xdr:rowOff>76200</xdr:rowOff>
    </xdr:from>
    <xdr:to>
      <xdr:col>24</xdr:col>
      <xdr:colOff>0</xdr:colOff>
      <xdr:row>5</xdr:row>
      <xdr:rowOff>76200</xdr:rowOff>
    </xdr:to>
    <xdr:sp macro="" textlink="">
      <xdr:nvSpPr>
        <xdr:cNvPr id="3" name="Rounded Rectangle 2">
          <a:extLst>
            <a:ext uri="{FF2B5EF4-FFF2-40B4-BE49-F238E27FC236}">
              <a16:creationId xmlns:a16="http://schemas.microsoft.com/office/drawing/2014/main" id="{541CAA7B-3935-51D1-9229-C57D63BE23DF}"/>
            </a:ext>
          </a:extLst>
        </xdr:cNvPr>
        <xdr:cNvSpPr/>
      </xdr:nvSpPr>
      <xdr:spPr>
        <a:xfrm>
          <a:off x="25009" y="76200"/>
          <a:ext cx="20091791" cy="1016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GB" sz="1100"/>
        </a:p>
      </xdr:txBody>
    </xdr:sp>
    <xdr:clientData fLocksWithSheet="0"/>
  </xdr:twoCellAnchor>
  <xdr:twoCellAnchor>
    <xdr:from>
      <xdr:col>1</xdr:col>
      <xdr:colOff>0</xdr:colOff>
      <xdr:row>0</xdr:row>
      <xdr:rowOff>176753</xdr:rowOff>
    </xdr:from>
    <xdr:to>
      <xdr:col>11</xdr:col>
      <xdr:colOff>643229</xdr:colOff>
      <xdr:row>4</xdr:row>
      <xdr:rowOff>157215</xdr:rowOff>
    </xdr:to>
    <xdr:sp macro="" textlink="">
      <xdr:nvSpPr>
        <xdr:cNvPr id="8" name="TextBox 7">
          <a:extLst>
            <a:ext uri="{FF2B5EF4-FFF2-40B4-BE49-F238E27FC236}">
              <a16:creationId xmlns:a16="http://schemas.microsoft.com/office/drawing/2014/main" id="{8F45223F-E2D2-AD24-283F-D2C832A72CD4}"/>
            </a:ext>
          </a:extLst>
        </xdr:cNvPr>
        <xdr:cNvSpPr txBox="1"/>
      </xdr:nvSpPr>
      <xdr:spPr>
        <a:xfrm>
          <a:off x="828261" y="176753"/>
          <a:ext cx="8925838" cy="790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400" b="1"/>
            <a:t>Retail Store Sales Dashboard</a:t>
          </a:r>
        </a:p>
      </xdr:txBody>
    </xdr:sp>
    <xdr:clientData/>
  </xdr:twoCellAnchor>
  <xdr:twoCellAnchor>
    <xdr:from>
      <xdr:col>13</xdr:col>
      <xdr:colOff>309794</xdr:colOff>
      <xdr:row>0</xdr:row>
      <xdr:rowOff>148379</xdr:rowOff>
    </xdr:from>
    <xdr:to>
      <xdr:col>15</xdr:col>
      <xdr:colOff>515364</xdr:colOff>
      <xdr:row>5</xdr:row>
      <xdr:rowOff>46779</xdr:rowOff>
    </xdr:to>
    <xdr:grpSp>
      <xdr:nvGrpSpPr>
        <xdr:cNvPr id="29" name="Group 28">
          <a:extLst>
            <a:ext uri="{FF2B5EF4-FFF2-40B4-BE49-F238E27FC236}">
              <a16:creationId xmlns:a16="http://schemas.microsoft.com/office/drawing/2014/main" id="{5D233AED-18E5-F240-B2AE-2F8869F4A430}"/>
            </a:ext>
          </a:extLst>
        </xdr:cNvPr>
        <xdr:cNvGrpSpPr/>
      </xdr:nvGrpSpPr>
      <xdr:grpSpPr>
        <a:xfrm>
          <a:off x="11182233" y="148379"/>
          <a:ext cx="1878253" cy="982546"/>
          <a:chOff x="4953001" y="101600"/>
          <a:chExt cx="1853809" cy="914400"/>
        </a:xfrm>
      </xdr:grpSpPr>
      <xdr:sp macro="" textlink="">
        <xdr:nvSpPr>
          <xdr:cNvPr id="9" name="TextBox 8">
            <a:extLst>
              <a:ext uri="{FF2B5EF4-FFF2-40B4-BE49-F238E27FC236}">
                <a16:creationId xmlns:a16="http://schemas.microsoft.com/office/drawing/2014/main" id="{50A71BFC-9313-3946-3814-89FD9F41FD3E}"/>
              </a:ext>
            </a:extLst>
          </xdr:cNvPr>
          <xdr:cNvSpPr txBox="1"/>
        </xdr:nvSpPr>
        <xdr:spPr>
          <a:xfrm>
            <a:off x="5290502" y="101600"/>
            <a:ext cx="1205718" cy="4608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b="1"/>
              <a:t>Total</a:t>
            </a:r>
            <a:r>
              <a:rPr lang="en-GB" sz="1600" b="1" baseline="0"/>
              <a:t> Sales</a:t>
            </a:r>
            <a:endParaRPr lang="en-GB" sz="1600" b="1"/>
          </a:p>
        </xdr:txBody>
      </xdr:sp>
      <xdr:sp macro="" textlink="">
        <xdr:nvSpPr>
          <xdr:cNvPr id="19" name="TextBox 18">
            <a:extLst>
              <a:ext uri="{FF2B5EF4-FFF2-40B4-BE49-F238E27FC236}">
                <a16:creationId xmlns:a16="http://schemas.microsoft.com/office/drawing/2014/main" id="{78FCCEEF-43F3-6F0B-035A-E4ED0B1737CD}"/>
              </a:ext>
            </a:extLst>
          </xdr:cNvPr>
          <xdr:cNvSpPr txBox="1"/>
        </xdr:nvSpPr>
        <xdr:spPr>
          <a:xfrm>
            <a:off x="4953001" y="520700"/>
            <a:ext cx="1853809"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0" i="0" u="none" strike="noStrike">
                <a:solidFill>
                  <a:schemeClr val="dk1"/>
                </a:solidFill>
                <a:effectLst/>
                <a:latin typeface="+mn-lt"/>
                <a:ea typeface="+mn-ea"/>
                <a:cs typeface="+mn-cs"/>
              </a:rPr>
              <a:t> $1,410,617.80 </a:t>
            </a:r>
            <a:endParaRPr lang="en-GB" sz="16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a:effectLst/>
            </a:endParaRPr>
          </a:p>
        </xdr:txBody>
      </xdr:sp>
    </xdr:grpSp>
    <xdr:clientData/>
  </xdr:twoCellAnchor>
  <xdr:twoCellAnchor>
    <xdr:from>
      <xdr:col>15</xdr:col>
      <xdr:colOff>383766</xdr:colOff>
      <xdr:row>0</xdr:row>
      <xdr:rowOff>176753</xdr:rowOff>
    </xdr:from>
    <xdr:to>
      <xdr:col>18</xdr:col>
      <xdr:colOff>40488</xdr:colOff>
      <xdr:row>5</xdr:row>
      <xdr:rowOff>46779</xdr:rowOff>
    </xdr:to>
    <xdr:grpSp>
      <xdr:nvGrpSpPr>
        <xdr:cNvPr id="30" name="Group 29">
          <a:extLst>
            <a:ext uri="{FF2B5EF4-FFF2-40B4-BE49-F238E27FC236}">
              <a16:creationId xmlns:a16="http://schemas.microsoft.com/office/drawing/2014/main" id="{A7016765-B342-9BC6-43C5-7531EFD0CF33}"/>
            </a:ext>
          </a:extLst>
        </xdr:cNvPr>
        <xdr:cNvGrpSpPr/>
      </xdr:nvGrpSpPr>
      <xdr:grpSpPr>
        <a:xfrm>
          <a:off x="12928888" y="176753"/>
          <a:ext cx="2165746" cy="954172"/>
          <a:chOff x="6807200" y="130089"/>
          <a:chExt cx="1894118" cy="885911"/>
        </a:xfrm>
      </xdr:grpSpPr>
      <xdr:sp macro="" textlink="">
        <xdr:nvSpPr>
          <xdr:cNvPr id="23" name="TextBox 22">
            <a:extLst>
              <a:ext uri="{FF2B5EF4-FFF2-40B4-BE49-F238E27FC236}">
                <a16:creationId xmlns:a16="http://schemas.microsoft.com/office/drawing/2014/main" id="{A9585D9F-94CF-E347-B096-749AB1976E06}"/>
              </a:ext>
            </a:extLst>
          </xdr:cNvPr>
          <xdr:cNvSpPr txBox="1"/>
        </xdr:nvSpPr>
        <xdr:spPr>
          <a:xfrm>
            <a:off x="7294636" y="130089"/>
            <a:ext cx="1406682"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b="1"/>
              <a:t>Total Profit</a:t>
            </a:r>
          </a:p>
        </xdr:txBody>
      </xdr:sp>
      <xdr:sp macro="" textlink="">
        <xdr:nvSpPr>
          <xdr:cNvPr id="24" name="TextBox 23">
            <a:extLst>
              <a:ext uri="{FF2B5EF4-FFF2-40B4-BE49-F238E27FC236}">
                <a16:creationId xmlns:a16="http://schemas.microsoft.com/office/drawing/2014/main" id="{5B84E53B-DAC1-1246-95F5-866BB331A0EB}"/>
              </a:ext>
            </a:extLst>
          </xdr:cNvPr>
          <xdr:cNvSpPr txBox="1"/>
        </xdr:nvSpPr>
        <xdr:spPr>
          <a:xfrm>
            <a:off x="6807200" y="520700"/>
            <a:ext cx="1853809"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0" i="0" u="none" strike="noStrike">
                <a:solidFill>
                  <a:schemeClr val="dk1"/>
                </a:solidFill>
                <a:effectLst/>
                <a:latin typeface="+mn-lt"/>
                <a:ea typeface="+mn-ea"/>
                <a:cs typeface="+mn-cs"/>
              </a:rPr>
              <a:t> $194,591.00 </a:t>
            </a:r>
            <a:endParaRPr lang="en-GB" sz="16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6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a:effectLst/>
            </a:endParaRPr>
          </a:p>
        </xdr:txBody>
      </xdr:sp>
    </xdr:grpSp>
    <xdr:clientData/>
  </xdr:twoCellAnchor>
  <xdr:twoCellAnchor>
    <xdr:from>
      <xdr:col>17</xdr:col>
      <xdr:colOff>622691</xdr:colOff>
      <xdr:row>0</xdr:row>
      <xdr:rowOff>148379</xdr:rowOff>
    </xdr:from>
    <xdr:to>
      <xdr:col>20</xdr:col>
      <xdr:colOff>0</xdr:colOff>
      <xdr:row>5</xdr:row>
      <xdr:rowOff>46779</xdr:rowOff>
    </xdr:to>
    <xdr:grpSp>
      <xdr:nvGrpSpPr>
        <xdr:cNvPr id="31" name="Group 30">
          <a:extLst>
            <a:ext uri="{FF2B5EF4-FFF2-40B4-BE49-F238E27FC236}">
              <a16:creationId xmlns:a16="http://schemas.microsoft.com/office/drawing/2014/main" id="{49FAE4AC-D45D-9042-557B-4CC9299AB664}"/>
            </a:ext>
          </a:extLst>
        </xdr:cNvPr>
        <xdr:cNvGrpSpPr/>
      </xdr:nvGrpSpPr>
      <xdr:grpSpPr>
        <a:xfrm>
          <a:off x="14840496" y="148379"/>
          <a:ext cx="1886333" cy="982546"/>
          <a:chOff x="8674882" y="101600"/>
          <a:chExt cx="1853809" cy="914400"/>
        </a:xfrm>
      </xdr:grpSpPr>
      <xdr:sp macro="" textlink="">
        <xdr:nvSpPr>
          <xdr:cNvPr id="25" name="TextBox 24">
            <a:extLst>
              <a:ext uri="{FF2B5EF4-FFF2-40B4-BE49-F238E27FC236}">
                <a16:creationId xmlns:a16="http://schemas.microsoft.com/office/drawing/2014/main" id="{DDA6D4E2-27FE-F942-B886-6AFEAA2DD81F}"/>
              </a:ext>
            </a:extLst>
          </xdr:cNvPr>
          <xdr:cNvSpPr txBox="1"/>
        </xdr:nvSpPr>
        <xdr:spPr>
          <a:xfrm>
            <a:off x="9080500" y="101600"/>
            <a:ext cx="1446344" cy="434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b="1"/>
              <a:t>Avg.</a:t>
            </a:r>
            <a:r>
              <a:rPr lang="en-GB" sz="1600" b="1" baseline="0"/>
              <a:t> Discount</a:t>
            </a:r>
            <a:endParaRPr lang="en-GB" sz="1600" b="1"/>
          </a:p>
        </xdr:txBody>
      </xdr:sp>
      <xdr:sp macro="" textlink="">
        <xdr:nvSpPr>
          <xdr:cNvPr id="26" name="TextBox 25">
            <a:extLst>
              <a:ext uri="{FF2B5EF4-FFF2-40B4-BE49-F238E27FC236}">
                <a16:creationId xmlns:a16="http://schemas.microsoft.com/office/drawing/2014/main" id="{F6083065-4564-8742-A294-100EEE272ADE}"/>
              </a:ext>
            </a:extLst>
          </xdr:cNvPr>
          <xdr:cNvSpPr txBox="1"/>
        </xdr:nvSpPr>
        <xdr:spPr>
          <a:xfrm>
            <a:off x="8674882" y="520700"/>
            <a:ext cx="1853809"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buNone/>
            </a:pPr>
            <a:r>
              <a:rPr lang="en-GB" sz="1600" b="0" i="0" u="none" strike="noStrike">
                <a:solidFill>
                  <a:schemeClr val="dk1"/>
                </a:solidFill>
                <a:effectLst/>
                <a:latin typeface="+mn-lt"/>
                <a:ea typeface="+mn-ea"/>
                <a:cs typeface="+mn-cs"/>
              </a:rPr>
              <a:t>  </a:t>
            </a:r>
            <a:r>
              <a:rPr lang="en-GB" sz="1600" b="0" i="0" u="none" strike="noStrike">
                <a:solidFill>
                  <a:srgbClr val="000000"/>
                </a:solidFill>
                <a:effectLst/>
                <a:latin typeface="Aptos Narrow" panose="020B0004020202020204" pitchFamily="34" charset="0"/>
              </a:rPr>
              <a:t>10.21%</a:t>
            </a:r>
            <a:r>
              <a:rPr lang="en-GB" sz="1600">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sz="16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a:effectLst/>
            </a:endParaRPr>
          </a:p>
        </xdr:txBody>
      </xdr:sp>
    </xdr:grpSp>
    <xdr:clientData/>
  </xdr:twoCellAnchor>
  <xdr:twoCellAnchor>
    <xdr:from>
      <xdr:col>20</xdr:col>
      <xdr:colOff>622691</xdr:colOff>
      <xdr:row>0</xdr:row>
      <xdr:rowOff>148379</xdr:rowOff>
    </xdr:from>
    <xdr:to>
      <xdr:col>23</xdr:col>
      <xdr:colOff>0</xdr:colOff>
      <xdr:row>5</xdr:row>
      <xdr:rowOff>46779</xdr:rowOff>
    </xdr:to>
    <xdr:grpSp>
      <xdr:nvGrpSpPr>
        <xdr:cNvPr id="32" name="Group 31">
          <a:extLst>
            <a:ext uri="{FF2B5EF4-FFF2-40B4-BE49-F238E27FC236}">
              <a16:creationId xmlns:a16="http://schemas.microsoft.com/office/drawing/2014/main" id="{B0653830-31C1-3812-AC91-603D8650B0AA}"/>
            </a:ext>
          </a:extLst>
        </xdr:cNvPr>
        <xdr:cNvGrpSpPr/>
      </xdr:nvGrpSpPr>
      <xdr:grpSpPr>
        <a:xfrm>
          <a:off x="17349520" y="148379"/>
          <a:ext cx="1886334" cy="982546"/>
          <a:chOff x="10528691" y="101600"/>
          <a:chExt cx="1853809" cy="914400"/>
        </a:xfrm>
      </xdr:grpSpPr>
      <xdr:sp macro="" textlink="">
        <xdr:nvSpPr>
          <xdr:cNvPr id="27" name="TextBox 26">
            <a:extLst>
              <a:ext uri="{FF2B5EF4-FFF2-40B4-BE49-F238E27FC236}">
                <a16:creationId xmlns:a16="http://schemas.microsoft.com/office/drawing/2014/main" id="{9CF77BEC-D458-BD49-B098-52614DE05021}"/>
              </a:ext>
            </a:extLst>
          </xdr:cNvPr>
          <xdr:cNvSpPr txBox="1"/>
        </xdr:nvSpPr>
        <xdr:spPr>
          <a:xfrm>
            <a:off x="10731500" y="101600"/>
            <a:ext cx="1651000" cy="4608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b="1"/>
              <a:t>Avg.</a:t>
            </a:r>
            <a:r>
              <a:rPr lang="en-GB" sz="1600" b="1" baseline="0"/>
              <a:t> Order Value </a:t>
            </a:r>
            <a:endParaRPr lang="en-GB" sz="1600" b="1"/>
          </a:p>
        </xdr:txBody>
      </xdr:sp>
      <xdr:sp macro="" textlink="">
        <xdr:nvSpPr>
          <xdr:cNvPr id="28" name="TextBox 27">
            <a:extLst>
              <a:ext uri="{FF2B5EF4-FFF2-40B4-BE49-F238E27FC236}">
                <a16:creationId xmlns:a16="http://schemas.microsoft.com/office/drawing/2014/main" id="{DF268779-8119-7147-A7ED-2611405FD1D9}"/>
              </a:ext>
            </a:extLst>
          </xdr:cNvPr>
          <xdr:cNvSpPr txBox="1"/>
        </xdr:nvSpPr>
        <xdr:spPr>
          <a:xfrm>
            <a:off x="10528691" y="520700"/>
            <a:ext cx="1853809"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buNone/>
            </a:pPr>
            <a:r>
              <a:rPr lang="en-GB" sz="1600" b="0" i="0" u="none" strike="noStrike">
                <a:solidFill>
                  <a:srgbClr val="000000"/>
                </a:solidFill>
                <a:effectLst/>
                <a:latin typeface="Aptos Narrow" panose="020B0004020202020204" pitchFamily="34" charset="0"/>
              </a:rPr>
              <a:t> $2,821.24 </a:t>
            </a:r>
            <a:endParaRPr lang="en-GB" sz="16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a:effectLst/>
            </a:endParaRPr>
          </a:p>
        </xdr:txBody>
      </xdr:sp>
    </xdr:grpSp>
    <xdr:clientData/>
  </xdr:twoCellAnchor>
  <xdr:twoCellAnchor>
    <xdr:from>
      <xdr:col>0</xdr:col>
      <xdr:colOff>1</xdr:colOff>
      <xdr:row>6</xdr:row>
      <xdr:rowOff>0</xdr:rowOff>
    </xdr:from>
    <xdr:to>
      <xdr:col>9</xdr:col>
      <xdr:colOff>78378</xdr:colOff>
      <xdr:row>25</xdr:row>
      <xdr:rowOff>69669</xdr:rowOff>
    </xdr:to>
    <xdr:graphicFrame macro="">
      <xdr:nvGraphicFramePr>
        <xdr:cNvPr id="33" name="Chart 32">
          <a:extLst>
            <a:ext uri="{FF2B5EF4-FFF2-40B4-BE49-F238E27FC236}">
              <a16:creationId xmlns:a16="http://schemas.microsoft.com/office/drawing/2014/main" id="{4378E38F-B75C-D044-9D66-CECB4E6D5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259807</xdr:colOff>
      <xdr:row>6</xdr:row>
      <xdr:rowOff>2902</xdr:rowOff>
    </xdr:from>
    <xdr:to>
      <xdr:col>18</xdr:col>
      <xdr:colOff>338184</xdr:colOff>
      <xdr:row>25</xdr:row>
      <xdr:rowOff>72571</xdr:rowOff>
    </xdr:to>
    <xdr:graphicFrame macro="">
      <xdr:nvGraphicFramePr>
        <xdr:cNvPr id="34" name="Profit by State">
          <a:extLst>
            <a:ext uri="{FF2B5EF4-FFF2-40B4-BE49-F238E27FC236}">
              <a16:creationId xmlns:a16="http://schemas.microsoft.com/office/drawing/2014/main" id="{A3CA8A37-32C3-9848-A7C9-8D0C28B24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25008</xdr:colOff>
      <xdr:row>25</xdr:row>
      <xdr:rowOff>181156</xdr:rowOff>
    </xdr:from>
    <xdr:to>
      <xdr:col>10</xdr:col>
      <xdr:colOff>0</xdr:colOff>
      <xdr:row>44</xdr:row>
      <xdr:rowOff>0</xdr:rowOff>
    </xdr:to>
    <xdr:graphicFrame macro="">
      <xdr:nvGraphicFramePr>
        <xdr:cNvPr id="35" name="Chart 34">
          <a:extLst>
            <a:ext uri="{FF2B5EF4-FFF2-40B4-BE49-F238E27FC236}">
              <a16:creationId xmlns:a16="http://schemas.microsoft.com/office/drawing/2014/main" id="{82067ABA-39D8-4F4B-B06A-466F14DFE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158948</xdr:colOff>
      <xdr:row>26</xdr:row>
      <xdr:rowOff>51536</xdr:rowOff>
    </xdr:from>
    <xdr:to>
      <xdr:col>17</xdr:col>
      <xdr:colOff>622691</xdr:colOff>
      <xdr:row>44</xdr:row>
      <xdr:rowOff>127000</xdr:rowOff>
    </xdr:to>
    <xdr:graphicFrame macro="">
      <xdr:nvGraphicFramePr>
        <xdr:cNvPr id="36" name="Chart 35">
          <a:extLst>
            <a:ext uri="{FF2B5EF4-FFF2-40B4-BE49-F238E27FC236}">
              <a16:creationId xmlns:a16="http://schemas.microsoft.com/office/drawing/2014/main" id="{7A8AC613-BD43-8B4B-B1A8-9B4B73109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198445</xdr:colOff>
      <xdr:row>26</xdr:row>
      <xdr:rowOff>51536</xdr:rowOff>
    </xdr:from>
    <xdr:to>
      <xdr:col>23</xdr:col>
      <xdr:colOff>672716</xdr:colOff>
      <xdr:row>44</xdr:row>
      <xdr:rowOff>127000</xdr:rowOff>
    </xdr:to>
    <xdr:graphicFrame macro="">
      <xdr:nvGraphicFramePr>
        <xdr:cNvPr id="39" name="Chart 38">
          <a:extLst>
            <a:ext uri="{FF2B5EF4-FFF2-40B4-BE49-F238E27FC236}">
              <a16:creationId xmlns:a16="http://schemas.microsoft.com/office/drawing/2014/main" id="{3F49C0FE-291E-BD41-8159-F1478579B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45</xdr:row>
      <xdr:rowOff>0</xdr:rowOff>
    </xdr:from>
    <xdr:to>
      <xdr:col>7</xdr:col>
      <xdr:colOff>813191</xdr:colOff>
      <xdr:row>62</xdr:row>
      <xdr:rowOff>152400</xdr:rowOff>
    </xdr:to>
    <xdr:graphicFrame macro="">
      <xdr:nvGraphicFramePr>
        <xdr:cNvPr id="40" name="Chart 39">
          <a:extLst>
            <a:ext uri="{FF2B5EF4-FFF2-40B4-BE49-F238E27FC236}">
              <a16:creationId xmlns:a16="http://schemas.microsoft.com/office/drawing/2014/main" id="{F5846F80-EB4C-2B40-BEDC-9727C7ADB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50800</xdr:colOff>
      <xdr:row>45</xdr:row>
      <xdr:rowOff>4064</xdr:rowOff>
    </xdr:from>
    <xdr:to>
      <xdr:col>15</xdr:col>
      <xdr:colOff>692630</xdr:colOff>
      <xdr:row>62</xdr:row>
      <xdr:rowOff>152400</xdr:rowOff>
    </xdr:to>
    <xdr:graphicFrame macro="">
      <xdr:nvGraphicFramePr>
        <xdr:cNvPr id="41" name="Chart 40">
          <a:extLst>
            <a:ext uri="{FF2B5EF4-FFF2-40B4-BE49-F238E27FC236}">
              <a16:creationId xmlns:a16="http://schemas.microsoft.com/office/drawing/2014/main" id="{B23AB7E4-D763-984C-9C34-21A45C33B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793110</xdr:colOff>
      <xdr:row>45</xdr:row>
      <xdr:rowOff>29464</xdr:rowOff>
    </xdr:from>
    <xdr:to>
      <xdr:col>23</xdr:col>
      <xdr:colOff>672716</xdr:colOff>
      <xdr:row>62</xdr:row>
      <xdr:rowOff>177800</xdr:rowOff>
    </xdr:to>
    <xdr:graphicFrame macro="">
      <xdr:nvGraphicFramePr>
        <xdr:cNvPr id="42" name="Chart 41">
          <a:extLst>
            <a:ext uri="{FF2B5EF4-FFF2-40B4-BE49-F238E27FC236}">
              <a16:creationId xmlns:a16="http://schemas.microsoft.com/office/drawing/2014/main" id="{F26748CB-4DC8-F741-9038-25BFC7D51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514759</xdr:colOff>
      <xdr:row>6</xdr:row>
      <xdr:rowOff>0</xdr:rowOff>
    </xdr:from>
    <xdr:to>
      <xdr:col>24</xdr:col>
      <xdr:colOff>0</xdr:colOff>
      <xdr:row>25</xdr:row>
      <xdr:rowOff>199562</xdr:rowOff>
    </xdr:to>
    <xdr:grpSp>
      <xdr:nvGrpSpPr>
        <xdr:cNvPr id="44" name="Group 43">
          <a:extLst>
            <a:ext uri="{FF2B5EF4-FFF2-40B4-BE49-F238E27FC236}">
              <a16:creationId xmlns:a16="http://schemas.microsoft.com/office/drawing/2014/main" id="{08C18045-43C2-D87B-CFDD-63FA4896A494}"/>
            </a:ext>
          </a:extLst>
        </xdr:cNvPr>
        <xdr:cNvGrpSpPr/>
      </xdr:nvGrpSpPr>
      <xdr:grpSpPr>
        <a:xfrm>
          <a:off x="15568905" y="1300976"/>
          <a:ext cx="4503290" cy="4319318"/>
          <a:chOff x="15736957" y="1217685"/>
          <a:chExt cx="4141304" cy="4046373"/>
        </a:xfrm>
        <a:solidFill>
          <a:srgbClr val="0432FF">
            <a:alpha val="74524"/>
          </a:srgbClr>
        </a:solidFill>
      </xdr:grpSpPr>
      <xdr:sp macro="" textlink="">
        <xdr:nvSpPr>
          <xdr:cNvPr id="43" name="Rounded Rectangle 42">
            <a:extLst>
              <a:ext uri="{FF2B5EF4-FFF2-40B4-BE49-F238E27FC236}">
                <a16:creationId xmlns:a16="http://schemas.microsoft.com/office/drawing/2014/main" id="{1D42C95A-5CFE-9A88-6E4B-857DDCBD0BC2}"/>
              </a:ext>
            </a:extLst>
          </xdr:cNvPr>
          <xdr:cNvSpPr/>
        </xdr:nvSpPr>
        <xdr:spPr>
          <a:xfrm>
            <a:off x="15736957" y="1217685"/>
            <a:ext cx="4141304" cy="404637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38" name="Customer Segment 1">
                <a:extLst>
                  <a:ext uri="{FF2B5EF4-FFF2-40B4-BE49-F238E27FC236}">
                    <a16:creationId xmlns:a16="http://schemas.microsoft.com/office/drawing/2014/main" id="{A2880856-D797-C14F-825A-5DE39BB23466}"/>
                  </a:ext>
                </a:extLst>
              </xdr:cNvPr>
              <xdr:cNvGraphicFramePr/>
            </xdr:nvGraphicFramePr>
            <xdr:xfrm>
              <a:off x="15881097" y="1840580"/>
              <a:ext cx="1834322" cy="265176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5725644" y="1965888"/>
                <a:ext cx="1994658" cy="28306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7" name="State 1">
                <a:extLst>
                  <a:ext uri="{FF2B5EF4-FFF2-40B4-BE49-F238E27FC236}">
                    <a16:creationId xmlns:a16="http://schemas.microsoft.com/office/drawing/2014/main" id="{D4CB71A4-FE60-D049-90BB-DCC888B5670D}"/>
                  </a:ext>
                </a:extLst>
              </xdr:cNvPr>
              <xdr:cNvGraphicFramePr/>
            </xdr:nvGraphicFramePr>
            <xdr:xfrm>
              <a:off x="17862665" y="1840580"/>
              <a:ext cx="1847022" cy="265176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7880418" y="1965888"/>
                <a:ext cx="2008468" cy="28306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431800</xdr:colOff>
      <xdr:row>1</xdr:row>
      <xdr:rowOff>88900</xdr:rowOff>
    </xdr:from>
    <xdr:to>
      <xdr:col>9</xdr:col>
      <xdr:colOff>520700</xdr:colOff>
      <xdr:row>16</xdr:row>
      <xdr:rowOff>139700</xdr:rowOff>
    </xdr:to>
    <xdr:graphicFrame macro="">
      <xdr:nvGraphicFramePr>
        <xdr:cNvPr id="3" name="Chart 2">
          <a:extLst>
            <a:ext uri="{FF2B5EF4-FFF2-40B4-BE49-F238E27FC236}">
              <a16:creationId xmlns:a16="http://schemas.microsoft.com/office/drawing/2014/main" id="{09324638-2EAF-9D8D-67ED-7000F767E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736600</xdr:colOff>
      <xdr:row>4</xdr:row>
      <xdr:rowOff>152400</xdr:rowOff>
    </xdr:from>
    <xdr:to>
      <xdr:col>13</xdr:col>
      <xdr:colOff>355600</xdr:colOff>
      <xdr:row>20</xdr:row>
      <xdr:rowOff>190500</xdr:rowOff>
    </xdr:to>
    <xdr:graphicFrame macro="">
      <xdr:nvGraphicFramePr>
        <xdr:cNvPr id="3" name="Profit by State">
          <a:extLst>
            <a:ext uri="{FF2B5EF4-FFF2-40B4-BE49-F238E27FC236}">
              <a16:creationId xmlns:a16="http://schemas.microsoft.com/office/drawing/2014/main" id="{BD379D06-9159-481F-E384-BC27CBCA2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431800</xdr:colOff>
      <xdr:row>1</xdr:row>
      <xdr:rowOff>38100</xdr:rowOff>
    </xdr:from>
    <xdr:to>
      <xdr:col>10</xdr:col>
      <xdr:colOff>749300</xdr:colOff>
      <xdr:row>17</xdr:row>
      <xdr:rowOff>139700</xdr:rowOff>
    </xdr:to>
    <xdr:graphicFrame macro="">
      <xdr:nvGraphicFramePr>
        <xdr:cNvPr id="2" name="Chart 1">
          <a:extLst>
            <a:ext uri="{FF2B5EF4-FFF2-40B4-BE49-F238E27FC236}">
              <a16:creationId xmlns:a16="http://schemas.microsoft.com/office/drawing/2014/main" id="{E7D330AE-88A4-5F73-57BB-1163B1D38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1</xdr:row>
      <xdr:rowOff>152400</xdr:rowOff>
    </xdr:from>
    <xdr:to>
      <xdr:col>10</xdr:col>
      <xdr:colOff>393700</xdr:colOff>
      <xdr:row>18</xdr:row>
      <xdr:rowOff>25400</xdr:rowOff>
    </xdr:to>
    <xdr:graphicFrame macro="">
      <xdr:nvGraphicFramePr>
        <xdr:cNvPr id="2" name="Chart 1">
          <a:extLst>
            <a:ext uri="{FF2B5EF4-FFF2-40B4-BE49-F238E27FC236}">
              <a16:creationId xmlns:a16="http://schemas.microsoft.com/office/drawing/2014/main" id="{7B2CBE96-C499-5CC9-E4A2-75BEA2928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266700</xdr:colOff>
      <xdr:row>4</xdr:row>
      <xdr:rowOff>63500</xdr:rowOff>
    </xdr:from>
    <xdr:to>
      <xdr:col>13</xdr:col>
      <xdr:colOff>444500</xdr:colOff>
      <xdr:row>17</xdr:row>
      <xdr:rowOff>41272</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486C7DA1-12B4-E9DC-5109-CF2A2E177D9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766300" y="876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711200</xdr:colOff>
      <xdr:row>4</xdr:row>
      <xdr:rowOff>63500</xdr:rowOff>
    </xdr:from>
    <xdr:to>
      <xdr:col>16</xdr:col>
      <xdr:colOff>63500</xdr:colOff>
      <xdr:row>17</xdr:row>
      <xdr:rowOff>41272</xdr:rowOff>
    </xdr:to>
    <mc:AlternateContent xmlns:mc="http://schemas.openxmlformats.org/markup-compatibility/2006">
      <mc:Choice xmlns:a14="http://schemas.microsoft.com/office/drawing/2010/main" Requires="a14">
        <xdr:graphicFrame macro="">
          <xdr:nvGraphicFramePr>
            <xdr:cNvPr id="4" name="Customer Segment">
              <a:extLst>
                <a:ext uri="{FF2B5EF4-FFF2-40B4-BE49-F238E27FC236}">
                  <a16:creationId xmlns:a16="http://schemas.microsoft.com/office/drawing/2014/main" id="{D890E4B6-0AF4-631D-151E-1B763248ACE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1861800" y="876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228600</xdr:colOff>
      <xdr:row>1</xdr:row>
      <xdr:rowOff>25400</xdr:rowOff>
    </xdr:from>
    <xdr:to>
      <xdr:col>8</xdr:col>
      <xdr:colOff>673100</xdr:colOff>
      <xdr:row>14</xdr:row>
      <xdr:rowOff>127000</xdr:rowOff>
    </xdr:to>
    <xdr:graphicFrame macro="">
      <xdr:nvGraphicFramePr>
        <xdr:cNvPr id="2" name="Chart 1">
          <a:extLst>
            <a:ext uri="{FF2B5EF4-FFF2-40B4-BE49-F238E27FC236}">
              <a16:creationId xmlns:a16="http://schemas.microsoft.com/office/drawing/2014/main" id="{152E6C2F-15E9-2DB7-CB19-703BCCD62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1</xdr:row>
      <xdr:rowOff>25400</xdr:rowOff>
    </xdr:from>
    <xdr:to>
      <xdr:col>9</xdr:col>
      <xdr:colOff>482600</xdr:colOff>
      <xdr:row>14</xdr:row>
      <xdr:rowOff>127000</xdr:rowOff>
    </xdr:to>
    <xdr:graphicFrame macro="">
      <xdr:nvGraphicFramePr>
        <xdr:cNvPr id="2" name="Chart 1">
          <a:extLst>
            <a:ext uri="{FF2B5EF4-FFF2-40B4-BE49-F238E27FC236}">
              <a16:creationId xmlns:a16="http://schemas.microsoft.com/office/drawing/2014/main" id="{B57DA640-0C2C-3292-6F59-769C621A7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25400</xdr:colOff>
      <xdr:row>1</xdr:row>
      <xdr:rowOff>50800</xdr:rowOff>
    </xdr:from>
    <xdr:to>
      <xdr:col>9</xdr:col>
      <xdr:colOff>469900</xdr:colOff>
      <xdr:row>14</xdr:row>
      <xdr:rowOff>152400</xdr:rowOff>
    </xdr:to>
    <xdr:graphicFrame macro="">
      <xdr:nvGraphicFramePr>
        <xdr:cNvPr id="2" name="Chart 1">
          <a:extLst>
            <a:ext uri="{FF2B5EF4-FFF2-40B4-BE49-F238E27FC236}">
              <a16:creationId xmlns:a16="http://schemas.microsoft.com/office/drawing/2014/main" id="{4271CE86-3279-6F97-FBA9-399F03940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63500</xdr:colOff>
      <xdr:row>1</xdr:row>
      <xdr:rowOff>25400</xdr:rowOff>
    </xdr:from>
    <xdr:to>
      <xdr:col>12</xdr:col>
      <xdr:colOff>508000</xdr:colOff>
      <xdr:row>14</xdr:row>
      <xdr:rowOff>127000</xdr:rowOff>
    </xdr:to>
    <xdr:graphicFrame macro="">
      <xdr:nvGraphicFramePr>
        <xdr:cNvPr id="2" name="Chart 1">
          <a:extLst>
            <a:ext uri="{FF2B5EF4-FFF2-40B4-BE49-F238E27FC236}">
              <a16:creationId xmlns:a16="http://schemas.microsoft.com/office/drawing/2014/main" id="{E7632DAF-A7F0-22C4-62FB-38AF51AFD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t Patel" refreshedDate="46219.731856712962" createdVersion="8" refreshedVersion="8" minRefreshableVersion="3" recordCount="500" xr:uid="{3D47695C-891E-224C-B3BF-30789CE500B5}">
  <cacheSource type="worksheet">
    <worksheetSource name="Table1"/>
  </cacheSource>
  <cacheFields count="18">
    <cacheField name="Receipt ID" numFmtId="0">
      <sharedItems/>
    </cacheField>
    <cacheField name="Purchase Date" numFmtId="14">
      <sharedItems containsSemiMixedTypes="0" containsNonDate="0" containsDate="1" containsString="0" minDate="2024-06-09T00:00:00" maxDate="2025-06-10T00:00:00" count="280">
        <d v="2024-12-19T00:00:00"/>
        <d v="2025-05-04T00:00:00"/>
        <d v="2024-09-16T00:00:00"/>
        <d v="2025-03-26T00:00:00"/>
        <d v="2024-07-10T00:00:00"/>
        <d v="2024-09-17T00:00:00"/>
        <d v="2025-01-06T00:00:00"/>
        <d v="2024-12-17T00:00:00"/>
        <d v="2025-04-22T00:00:00"/>
        <d v="2025-02-26T00:00:00"/>
        <d v="2024-06-20T00:00:00"/>
        <d v="2024-07-04T00:00:00"/>
        <d v="2024-11-21T00:00:00"/>
        <d v="2024-11-23T00:00:00"/>
        <d v="2024-06-11T00:00:00"/>
        <d v="2025-03-04T00:00:00"/>
        <d v="2024-09-07T00:00:00"/>
        <d v="2024-06-14T00:00:00"/>
        <d v="2024-12-12T00:00:00"/>
        <d v="2025-02-12T00:00:00"/>
        <d v="2025-03-03T00:00:00"/>
        <d v="2024-10-29T00:00:00"/>
        <d v="2024-07-15T00:00:00"/>
        <d v="2025-01-27T00:00:00"/>
        <d v="2024-11-04T00:00:00"/>
        <d v="2025-04-07T00:00:00"/>
        <d v="2024-09-06T00:00:00"/>
        <d v="2024-12-18T00:00:00"/>
        <d v="2024-06-10T00:00:00"/>
        <d v="2024-12-02T00:00:00"/>
        <d v="2024-10-02T00:00:00"/>
        <d v="2024-06-27T00:00:00"/>
        <d v="2025-04-29T00:00:00"/>
        <d v="2024-09-04T00:00:00"/>
        <d v="2024-07-18T00:00:00"/>
        <d v="2024-09-03T00:00:00"/>
        <d v="2024-08-09T00:00:00"/>
        <d v="2024-07-25T00:00:00"/>
        <d v="2025-05-22T00:00:00"/>
        <d v="2024-06-22T00:00:00"/>
        <d v="2025-03-31T00:00:00"/>
        <d v="2025-01-16T00:00:00"/>
        <d v="2024-10-04T00:00:00"/>
        <d v="2025-05-26T00:00:00"/>
        <d v="2025-02-23T00:00:00"/>
        <d v="2024-06-09T00:00:00"/>
        <d v="2024-07-16T00:00:00"/>
        <d v="2024-10-19T00:00:00"/>
        <d v="2024-10-03T00:00:00"/>
        <d v="2024-08-01T00:00:00"/>
        <d v="2025-04-03T00:00:00"/>
        <d v="2024-06-21T00:00:00"/>
        <d v="2025-03-02T00:00:00"/>
        <d v="2025-04-01T00:00:00"/>
        <d v="2025-04-28T00:00:00"/>
        <d v="2025-05-21T00:00:00"/>
        <d v="2025-03-15T00:00:00"/>
        <d v="2025-02-20T00:00:00"/>
        <d v="2025-01-09T00:00:00"/>
        <d v="2024-06-26T00:00:00"/>
        <d v="2024-07-14T00:00:00"/>
        <d v="2024-10-13T00:00:00"/>
        <d v="2024-06-18T00:00:00"/>
        <d v="2024-08-18T00:00:00"/>
        <d v="2024-07-05T00:00:00"/>
        <d v="2025-05-16T00:00:00"/>
        <d v="2025-04-11T00:00:00"/>
        <d v="2025-03-06T00:00:00"/>
        <d v="2024-10-24T00:00:00"/>
        <d v="2024-11-13T00:00:00"/>
        <d v="2025-01-10T00:00:00"/>
        <d v="2025-05-15T00:00:00"/>
        <d v="2024-06-17T00:00:00"/>
        <d v="2024-09-12T00:00:00"/>
        <d v="2024-07-21T00:00:00"/>
        <d v="2025-06-08T00:00:00"/>
        <d v="2025-02-22T00:00:00"/>
        <d v="2024-06-15T00:00:00"/>
        <d v="2024-08-23T00:00:00"/>
        <d v="2024-11-25T00:00:00"/>
        <d v="2025-02-25T00:00:00"/>
        <d v="2025-01-03T00:00:00"/>
        <d v="2025-02-05T00:00:00"/>
        <d v="2024-11-18T00:00:00"/>
        <d v="2024-07-26T00:00:00"/>
        <d v="2025-04-08T00:00:00"/>
        <d v="2024-11-29T00:00:00"/>
        <d v="2024-08-19T00:00:00"/>
        <d v="2025-03-21T00:00:00"/>
        <d v="2025-03-08T00:00:00"/>
        <d v="2025-02-03T00:00:00"/>
        <d v="2025-03-17T00:00:00"/>
        <d v="2024-10-26T00:00:00"/>
        <d v="2024-12-05T00:00:00"/>
        <d v="2025-03-20T00:00:00"/>
        <d v="2025-01-26T00:00:00"/>
        <d v="2024-12-14T00:00:00"/>
        <d v="2024-11-27T00:00:00"/>
        <d v="2024-07-27T00:00:00"/>
        <d v="2025-01-11T00:00:00"/>
        <d v="2024-06-12T00:00:00"/>
        <d v="2025-05-18T00:00:00"/>
        <d v="2024-10-17T00:00:00"/>
        <d v="2024-09-13T00:00:00"/>
        <d v="2024-07-17T00:00:00"/>
        <d v="2024-11-09T00:00:00"/>
        <d v="2024-09-26T00:00:00"/>
        <d v="2024-07-23T00:00:00"/>
        <d v="2025-02-13T00:00:00"/>
        <d v="2024-10-07T00:00:00"/>
        <d v="2025-06-06T00:00:00"/>
        <d v="2024-07-31T00:00:00"/>
        <d v="2025-02-14T00:00:00"/>
        <d v="2025-05-28T00:00:00"/>
        <d v="2024-08-25T00:00:00"/>
        <d v="2025-02-01T00:00:00"/>
        <d v="2024-09-22T00:00:00"/>
        <d v="2025-04-02T00:00:00"/>
        <d v="2024-12-13T00:00:00"/>
        <d v="2024-08-26T00:00:00"/>
        <d v="2024-11-08T00:00:00"/>
        <d v="2025-04-19T00:00:00"/>
        <d v="2024-06-28T00:00:00"/>
        <d v="2025-05-31T00:00:00"/>
        <d v="2025-03-24T00:00:00"/>
        <d v="2025-03-07T00:00:00"/>
        <d v="2025-02-21T00:00:00"/>
        <d v="2025-01-22T00:00:00"/>
        <d v="2024-12-26T00:00:00"/>
        <d v="2024-08-02T00:00:00"/>
        <d v="2024-09-10T00:00:00"/>
        <d v="2024-11-03T00:00:00"/>
        <d v="2024-06-13T00:00:00"/>
        <d v="2025-01-08T00:00:00"/>
        <d v="2024-09-20T00:00:00"/>
        <d v="2025-04-16T00:00:00"/>
        <d v="2025-05-08T00:00:00"/>
        <d v="2024-10-06T00:00:00"/>
        <d v="2024-10-27T00:00:00"/>
        <d v="2024-11-14T00:00:00"/>
        <d v="2024-12-03T00:00:00"/>
        <d v="2025-01-13T00:00:00"/>
        <d v="2024-11-17T00:00:00"/>
        <d v="2024-12-29T00:00:00"/>
        <d v="2025-04-20T00:00:00"/>
        <d v="2024-11-01T00:00:00"/>
        <d v="2024-08-07T00:00:00"/>
        <d v="2025-05-25T00:00:00"/>
        <d v="2025-01-23T00:00:00"/>
        <d v="2025-03-13T00:00:00"/>
        <d v="2024-11-10T00:00:00"/>
        <d v="2024-12-27T00:00:00"/>
        <d v="2024-07-29T00:00:00"/>
        <d v="2024-12-07T00:00:00"/>
        <d v="2024-08-14T00:00:00"/>
        <d v="2025-04-18T00:00:00"/>
        <d v="2024-08-08T00:00:00"/>
        <d v="2024-12-25T00:00:00"/>
        <d v="2024-09-21T00:00:00"/>
        <d v="2025-04-24T00:00:00"/>
        <d v="2025-05-17T00:00:00"/>
        <d v="2025-03-01T00:00:00"/>
        <d v="2024-07-20T00:00:00"/>
        <d v="2024-10-15T00:00:00"/>
        <d v="2024-08-29T00:00:00"/>
        <d v="2024-08-10T00:00:00"/>
        <d v="2025-05-06T00:00:00"/>
        <d v="2024-10-22T00:00:00"/>
        <d v="2025-01-25T00:00:00"/>
        <d v="2025-03-12T00:00:00"/>
        <d v="2024-10-18T00:00:00"/>
        <d v="2024-10-23T00:00:00"/>
        <d v="2024-09-15T00:00:00"/>
        <d v="2025-01-28T00:00:00"/>
        <d v="2025-03-11T00:00:00"/>
        <d v="2024-11-19T00:00:00"/>
        <d v="2024-08-06T00:00:00"/>
        <d v="2025-03-23T00:00:00"/>
        <d v="2024-07-24T00:00:00"/>
        <d v="2025-04-12T00:00:00"/>
        <d v="2025-04-05T00:00:00"/>
        <d v="2025-01-31T00:00:00"/>
        <d v="2024-08-31T00:00:00"/>
        <d v="2025-03-19T00:00:00"/>
        <d v="2025-06-02T00:00:00"/>
        <d v="2025-04-06T00:00:00"/>
        <d v="2025-06-07T00:00:00"/>
        <d v="2025-02-17T00:00:00"/>
        <d v="2024-07-01T00:00:00"/>
        <d v="2024-08-22T00:00:00"/>
        <d v="2025-06-09T00:00:00"/>
        <d v="2025-03-09T00:00:00"/>
        <d v="2025-04-14T00:00:00"/>
        <d v="2024-06-30T00:00:00"/>
        <d v="2024-06-23T00:00:00"/>
        <d v="2025-05-12T00:00:00"/>
        <d v="2024-12-22T00:00:00"/>
        <d v="2025-02-06T00:00:00"/>
        <d v="2024-08-27T00:00:00"/>
        <d v="2024-12-21T00:00:00"/>
        <d v="2024-12-10T00:00:00"/>
        <d v="2024-09-29T00:00:00"/>
        <d v="2025-05-30T00:00:00"/>
        <d v="2025-01-30T00:00:00"/>
        <d v="2025-03-25T00:00:00"/>
        <d v="2025-05-05T00:00:00"/>
        <d v="2024-11-28T00:00:00"/>
        <d v="2024-10-30T00:00:00"/>
        <d v="2024-09-01T00:00:00"/>
        <d v="2024-10-09T00:00:00"/>
        <d v="2024-10-12T00:00:00"/>
        <d v="2024-10-14T00:00:00"/>
        <d v="2024-11-12T00:00:00"/>
        <d v="2024-07-12T00:00:00"/>
        <d v="2025-01-04T00:00:00"/>
        <d v="2025-03-10T00:00:00"/>
        <d v="2025-01-20T00:00:00"/>
        <d v="2025-01-02T00:00:00"/>
        <d v="2025-05-13T00:00:00"/>
        <d v="2024-09-11T00:00:00"/>
        <d v="2024-09-19T00:00:00"/>
        <d v="2024-08-17T00:00:00"/>
        <d v="2024-09-28T00:00:00"/>
        <d v="2024-08-03T00:00:00"/>
        <d v="2025-01-24T00:00:00"/>
        <d v="2024-09-23T00:00:00"/>
        <d v="2025-05-10T00:00:00"/>
        <d v="2024-10-01T00:00:00"/>
        <d v="2025-03-14T00:00:00"/>
        <d v="2024-09-30T00:00:00"/>
        <d v="2025-05-14T00:00:00"/>
        <d v="2024-12-04T00:00:00"/>
        <d v="2025-05-07T00:00:00"/>
        <d v="2025-02-27T00:00:00"/>
        <d v="2025-05-11T00:00:00"/>
        <d v="2025-05-02T00:00:00"/>
        <d v="2024-12-23T00:00:00"/>
        <d v="2024-07-02T00:00:00"/>
        <d v="2024-09-18T00:00:00"/>
        <d v="2024-12-15T00:00:00"/>
        <d v="2024-12-01T00:00:00"/>
        <d v="2025-02-02T00:00:00"/>
        <d v="2024-09-05T00:00:00"/>
        <d v="2024-07-07T00:00:00"/>
        <d v="2024-12-08T00:00:00"/>
        <d v="2024-08-21T00:00:00"/>
        <d v="2025-06-01T00:00:00"/>
        <d v="2025-01-29T00:00:00"/>
        <d v="2024-09-24T00:00:00"/>
        <d v="2025-05-20T00:00:00"/>
        <d v="2024-07-06T00:00:00"/>
        <d v="2025-04-10T00:00:00"/>
        <d v="2024-10-20T00:00:00"/>
        <d v="2025-06-04T00:00:00"/>
        <d v="2025-05-19T00:00:00"/>
        <d v="2024-06-19T00:00:00"/>
        <d v="2025-01-12T00:00:00"/>
        <d v="2025-03-28T00:00:00"/>
        <d v="2024-10-11T00:00:00"/>
        <d v="2024-06-29T00:00:00"/>
        <d v="2025-03-22T00:00:00"/>
        <d v="2024-08-16T00:00:00"/>
        <d v="2025-01-19T00:00:00"/>
        <d v="2025-05-24T00:00:00"/>
        <d v="2025-04-04T00:00:00"/>
        <d v="2024-09-02T00:00:00"/>
        <d v="2024-11-24T00:00:00"/>
        <d v="2024-11-15T00:00:00"/>
        <d v="2025-02-08T00:00:00"/>
        <d v="2024-11-11T00:00:00"/>
        <d v="2025-04-21T00:00:00"/>
        <d v="2024-12-11T00:00:00"/>
        <d v="2025-01-05T00:00:00"/>
        <d v="2024-10-21T00:00:00"/>
        <d v="2024-06-16T00:00:00"/>
        <d v="2024-09-25T00:00:00"/>
        <d v="2024-12-16T00:00:00"/>
        <d v="2025-05-01T00:00:00"/>
        <d v="2024-11-02T00:00:00"/>
        <d v="2025-05-23T00:00:00"/>
      </sharedItems>
      <fieldGroup par="17"/>
    </cacheField>
    <cacheField name="Store Name" numFmtId="0">
      <sharedItems count="5">
        <s v="QuickBuy"/>
        <s v="ShopEase"/>
        <s v="Urban Mart"/>
        <s v="Metro Store"/>
        <s v="ValueHub"/>
      </sharedItems>
    </cacheField>
    <cacheField name="City" numFmtId="0">
      <sharedItems count="24">
        <s v="Pittsburgh"/>
        <s v="Reno"/>
        <s v="Houston"/>
        <s v="Dallas"/>
        <s v="Chicago"/>
        <s v="Springfield"/>
        <s v="Charlotte"/>
        <s v="New York City"/>
        <s v="Las Vegas"/>
        <s v="Spokane"/>
        <s v="Philadelphia"/>
        <s v="Worcester"/>
        <s v="Buffalo"/>
        <s v="Orlando"/>
        <s v="Savannah"/>
        <s v="Seattle"/>
        <s v="Miami"/>
        <s v="Boston"/>
        <s v="San Francisco"/>
        <s v="Raleigh"/>
        <s v="Atlanta"/>
        <s v="Detroit"/>
        <s v="Los Angeles"/>
        <s v="Grand Rapids"/>
      </sharedItems>
    </cacheField>
    <cacheField name="State" numFmtId="0">
      <sharedItems count="12">
        <s v="Pennsylvania"/>
        <s v="Nevada"/>
        <s v="Texas"/>
        <s v="Illinois"/>
        <s v="North Carolina"/>
        <s v="New York"/>
        <s v="Washington"/>
        <s v="Massachusetts"/>
        <s v="Florida"/>
        <s v="Georgia"/>
        <s v="California"/>
        <s v="Michigan"/>
      </sharedItems>
    </cacheField>
    <cacheField name="Region" numFmtId="0">
      <sharedItems count="4">
        <s v="East"/>
        <s v="West"/>
        <s v="Central"/>
        <s v="South"/>
      </sharedItems>
    </cacheField>
    <cacheField name="Customer Segment" numFmtId="0">
      <sharedItems count="3">
        <s v="Home Office"/>
        <s v="Consumer"/>
        <s v="Corporate"/>
      </sharedItems>
    </cacheField>
    <cacheField name="Category" numFmtId="0">
      <sharedItems count="4">
        <s v="Groceries"/>
        <s v="Clothing"/>
        <s v="Home &amp; Kitchen"/>
        <s v="Electronics"/>
      </sharedItems>
    </cacheField>
    <cacheField name="Sub-Category" numFmtId="0">
      <sharedItems count="13">
        <s v="Dairy"/>
        <s v="Snacks"/>
        <s v="Women"/>
        <s v="Decor"/>
        <s v="Fruits"/>
        <s v="Utensils"/>
        <s v="Men"/>
        <s v="Accessories"/>
        <s v="Appliances"/>
        <s v="Furniture"/>
        <s v="Vegetables"/>
        <s v="Phones"/>
        <s v="Kid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2.54" maxValue="996.24"/>
    </cacheField>
    <cacheField name="Sales" numFmtId="0">
      <sharedItems containsSemiMixedTypes="0" containsString="0" containsNumber="1" minValue="7.62" maxValue="9709.2999999999993"/>
    </cacheField>
    <cacheField name="Discount" numFmtId="0">
      <sharedItems containsSemiMixedTypes="0" containsString="0" containsNumber="1" minValue="0" maxValue="0.2"/>
    </cacheField>
    <cacheField name="Profit" numFmtId="0">
      <sharedItems containsSemiMixedTypes="0" containsString="0" containsNumber="1" minValue="0.68" maxValue="1838.21"/>
    </cacheField>
    <cacheField name="Payment Method" numFmtId="0">
      <sharedItems count="4">
        <s v="Online Payment"/>
        <s v="Credit Card"/>
        <s v="Cash"/>
        <s v="Bank Transfer"/>
      </sharedItems>
    </cacheField>
    <cacheField name="Months (Purchase Date)" numFmtId="0" databaseField="0">
      <fieldGroup base="1">
        <rangePr groupBy="months" startDate="2024-06-09T00:00:00" endDate="2025-06-10T00:00:00"/>
        <groupItems count="14">
          <s v="&lt;09/06/2024"/>
          <s v="Jan"/>
          <s v="Feb"/>
          <s v="Mar"/>
          <s v="Apr"/>
          <s v="May"/>
          <s v="Jun"/>
          <s v="Jul"/>
          <s v="Aug"/>
          <s v="Sep"/>
          <s v="Oct"/>
          <s v="Nov"/>
          <s v="Dec"/>
          <s v="&gt;10/06/2025"/>
        </groupItems>
      </fieldGroup>
    </cacheField>
    <cacheField name="Quarters (Purchase Date)" numFmtId="0" databaseField="0">
      <fieldGroup base="1">
        <rangePr groupBy="quarters" startDate="2024-06-09T00:00:00" endDate="2025-06-10T00:00:00"/>
        <groupItems count="6">
          <s v="&lt;09/06/2024"/>
          <s v="Qtr1"/>
          <s v="Qtr2"/>
          <s v="Qtr3"/>
          <s v="Qtr4"/>
          <s v="&gt;10/06/2025"/>
        </groupItems>
      </fieldGroup>
    </cacheField>
    <cacheField name="Years (Purchase Date)" numFmtId="0" databaseField="0">
      <fieldGroup base="1">
        <rangePr groupBy="years" startDate="2024-06-09T00:00:00" endDate="2025-06-10T00:00:00"/>
        <groupItems count="4">
          <s v="&lt;09/06/2024"/>
          <s v="2024"/>
          <s v="2025"/>
          <s v="&gt;10/06/2025"/>
        </groupItems>
      </fieldGroup>
    </cacheField>
  </cacheFields>
  <extLst>
    <ext xmlns:x14="http://schemas.microsoft.com/office/spreadsheetml/2009/9/main" uri="{725AE2AE-9491-48be-B2B4-4EB974FC3084}">
      <x14:pivotCacheDefinition pivotCacheId="517948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d48a4fb2-a086-4958-a221-4074c848ee96"/>
    <x v="0"/>
    <x v="0"/>
    <x v="0"/>
    <x v="0"/>
    <x v="0"/>
    <x v="0"/>
    <x v="0"/>
    <x v="0"/>
    <n v="9"/>
    <n v="694.74"/>
    <n v="6252.66"/>
    <n v="0.05"/>
    <n v="1084.19"/>
    <x v="0"/>
  </r>
  <r>
    <s v="4ef780f6-fd1e-4ef6-bd6d-8db4b83bfd7c"/>
    <x v="1"/>
    <x v="1"/>
    <x v="1"/>
    <x v="1"/>
    <x v="1"/>
    <x v="0"/>
    <x v="0"/>
    <x v="1"/>
    <n v="8"/>
    <n v="177.82"/>
    <n v="1422.56"/>
    <n v="0.15"/>
    <n v="77.290000000000006"/>
    <x v="1"/>
  </r>
  <r>
    <s v="64d37fc6-8abc-43bb-b65e-b2b19a740cf9"/>
    <x v="2"/>
    <x v="2"/>
    <x v="2"/>
    <x v="2"/>
    <x v="2"/>
    <x v="1"/>
    <x v="0"/>
    <x v="1"/>
    <n v="10"/>
    <n v="903.45"/>
    <n v="9034.5"/>
    <n v="0"/>
    <n v="1819.69"/>
    <x v="2"/>
  </r>
  <r>
    <s v="c0bbdc30-cb26-4b16-9cdf-b31ba7fc3fa9"/>
    <x v="3"/>
    <x v="3"/>
    <x v="3"/>
    <x v="2"/>
    <x v="2"/>
    <x v="1"/>
    <x v="1"/>
    <x v="2"/>
    <n v="5"/>
    <n v="571.14"/>
    <n v="2855.7"/>
    <n v="0.1"/>
    <n v="600.64"/>
    <x v="0"/>
  </r>
  <r>
    <s v="1d149b98-b8e7-4f65-bff3-5a82336c0b93"/>
    <x v="4"/>
    <x v="4"/>
    <x v="4"/>
    <x v="3"/>
    <x v="2"/>
    <x v="0"/>
    <x v="2"/>
    <x v="3"/>
    <n v="3"/>
    <n v="852.8"/>
    <n v="2558.4"/>
    <n v="0"/>
    <n v="316.83999999999997"/>
    <x v="3"/>
  </r>
  <r>
    <s v="ac6bbfbf-da60-4956-97c2-93246c9c6c9e"/>
    <x v="5"/>
    <x v="2"/>
    <x v="5"/>
    <x v="3"/>
    <x v="2"/>
    <x v="1"/>
    <x v="0"/>
    <x v="4"/>
    <n v="10"/>
    <n v="395.48"/>
    <n v="3954.8"/>
    <n v="0.1"/>
    <n v="684.65"/>
    <x v="3"/>
  </r>
  <r>
    <s v="5779442d-56df-4130-9d9c-e40215a791b7"/>
    <x v="6"/>
    <x v="3"/>
    <x v="6"/>
    <x v="4"/>
    <x v="3"/>
    <x v="2"/>
    <x v="2"/>
    <x v="5"/>
    <n v="4"/>
    <n v="556.30999999999995"/>
    <n v="2225.2399999999998"/>
    <n v="0.1"/>
    <n v="436.58"/>
    <x v="2"/>
  </r>
  <r>
    <s v="63248dd1-fa83-4e0a-88d8-12f514cd1c57"/>
    <x v="7"/>
    <x v="2"/>
    <x v="7"/>
    <x v="5"/>
    <x v="0"/>
    <x v="0"/>
    <x v="1"/>
    <x v="2"/>
    <n v="3"/>
    <n v="721.9"/>
    <n v="2165.6999999999998"/>
    <n v="0.15"/>
    <n v="334.27"/>
    <x v="1"/>
  </r>
  <r>
    <s v="8d38bb35-5e6c-47ce-9abc-dcec100ffac1"/>
    <x v="8"/>
    <x v="0"/>
    <x v="0"/>
    <x v="0"/>
    <x v="0"/>
    <x v="0"/>
    <x v="1"/>
    <x v="6"/>
    <n v="10"/>
    <n v="181.44"/>
    <n v="1814.4"/>
    <n v="0.2"/>
    <n v="195.7"/>
    <x v="3"/>
  </r>
  <r>
    <s v="c210dca6-1678-49ee-8147-1c0bc195b634"/>
    <x v="9"/>
    <x v="0"/>
    <x v="4"/>
    <x v="3"/>
    <x v="2"/>
    <x v="0"/>
    <x v="2"/>
    <x v="5"/>
    <n v="10"/>
    <n v="499.16"/>
    <n v="4991.6000000000004"/>
    <n v="0.05"/>
    <n v="912.49"/>
    <x v="1"/>
  </r>
  <r>
    <s v="601157cf-bed1-4387-8e9f-6cc0e604b01a"/>
    <x v="10"/>
    <x v="4"/>
    <x v="4"/>
    <x v="3"/>
    <x v="2"/>
    <x v="2"/>
    <x v="3"/>
    <x v="7"/>
    <n v="2"/>
    <n v="581.11"/>
    <n v="1162.22"/>
    <n v="0"/>
    <n v="91.14"/>
    <x v="0"/>
  </r>
  <r>
    <s v="330e9b4d-66ef-4be9-8087-09e2cabd3bfc"/>
    <x v="11"/>
    <x v="3"/>
    <x v="8"/>
    <x v="1"/>
    <x v="1"/>
    <x v="2"/>
    <x v="3"/>
    <x v="7"/>
    <n v="9"/>
    <n v="798.5"/>
    <n v="7186.5"/>
    <n v="0.1"/>
    <n v="1116.4000000000001"/>
    <x v="1"/>
  </r>
  <r>
    <s v="ce239f97-00c8-4d01-b205-2e4f4e6b36cf"/>
    <x v="12"/>
    <x v="4"/>
    <x v="9"/>
    <x v="6"/>
    <x v="1"/>
    <x v="2"/>
    <x v="3"/>
    <x v="8"/>
    <n v="7"/>
    <n v="354.21"/>
    <n v="2479.4699999999998"/>
    <n v="0.1"/>
    <n v="240.65"/>
    <x v="0"/>
  </r>
  <r>
    <s v="97f73b5b-a3d8-47a7-968b-ba373bfc1829"/>
    <x v="1"/>
    <x v="4"/>
    <x v="5"/>
    <x v="3"/>
    <x v="2"/>
    <x v="1"/>
    <x v="0"/>
    <x v="0"/>
    <n v="5"/>
    <n v="809.28"/>
    <n v="4046.4"/>
    <n v="0.2"/>
    <n v="179.53"/>
    <x v="1"/>
  </r>
  <r>
    <s v="381dec74-2170-4782-84e1-094fea5488a4"/>
    <x v="13"/>
    <x v="1"/>
    <x v="10"/>
    <x v="0"/>
    <x v="0"/>
    <x v="2"/>
    <x v="2"/>
    <x v="9"/>
    <n v="10"/>
    <n v="282.41000000000003"/>
    <n v="2824.1"/>
    <n v="0.1"/>
    <n v="134.30000000000001"/>
    <x v="2"/>
  </r>
  <r>
    <s v="22469804-7927-4c40-9099-64b33a420c30"/>
    <x v="14"/>
    <x v="1"/>
    <x v="0"/>
    <x v="0"/>
    <x v="0"/>
    <x v="1"/>
    <x v="0"/>
    <x v="10"/>
    <n v="4"/>
    <n v="485.95"/>
    <n v="1943.8"/>
    <n v="0.2"/>
    <n v="345.85"/>
    <x v="0"/>
  </r>
  <r>
    <s v="67ade166-14be-43ff-a174-553090f1be8a"/>
    <x v="15"/>
    <x v="0"/>
    <x v="10"/>
    <x v="0"/>
    <x v="0"/>
    <x v="2"/>
    <x v="3"/>
    <x v="11"/>
    <n v="4"/>
    <n v="661.35"/>
    <n v="2645.4"/>
    <n v="0.05"/>
    <n v="231.64"/>
    <x v="3"/>
  </r>
  <r>
    <s v="2db6b4ed-fdf8-4cd8-96f8-7cc22a16a41f"/>
    <x v="16"/>
    <x v="3"/>
    <x v="4"/>
    <x v="3"/>
    <x v="2"/>
    <x v="2"/>
    <x v="3"/>
    <x v="11"/>
    <n v="8"/>
    <n v="302.76"/>
    <n v="2422.08"/>
    <n v="0.2"/>
    <n v="187.43"/>
    <x v="3"/>
  </r>
  <r>
    <s v="b520d7f3-c95d-4fab-aaa7-7d9c4ee99438"/>
    <x v="17"/>
    <x v="2"/>
    <x v="5"/>
    <x v="3"/>
    <x v="2"/>
    <x v="2"/>
    <x v="2"/>
    <x v="5"/>
    <n v="7"/>
    <n v="679.14"/>
    <n v="4753.9799999999996"/>
    <n v="0.2"/>
    <n v="709.58"/>
    <x v="3"/>
  </r>
  <r>
    <s v="acbee483-ce16-4ed8-b345-4f71b6ba6043"/>
    <x v="18"/>
    <x v="1"/>
    <x v="3"/>
    <x v="2"/>
    <x v="2"/>
    <x v="2"/>
    <x v="0"/>
    <x v="4"/>
    <n v="2"/>
    <n v="256.83"/>
    <n v="513.66"/>
    <n v="0.2"/>
    <n v="52.69"/>
    <x v="0"/>
  </r>
  <r>
    <s v="7c2d9e21-3403-4b9c-a482-1e260f079db8"/>
    <x v="19"/>
    <x v="3"/>
    <x v="0"/>
    <x v="0"/>
    <x v="0"/>
    <x v="2"/>
    <x v="1"/>
    <x v="12"/>
    <n v="1"/>
    <n v="832.03"/>
    <n v="832.03"/>
    <n v="0"/>
    <n v="110.04"/>
    <x v="1"/>
  </r>
  <r>
    <s v="50c4787f-75b1-409f-8743-03ebe69ae79b"/>
    <x v="20"/>
    <x v="1"/>
    <x v="5"/>
    <x v="3"/>
    <x v="2"/>
    <x v="1"/>
    <x v="0"/>
    <x v="1"/>
    <n v="1"/>
    <n v="620.16"/>
    <n v="620.16"/>
    <n v="0"/>
    <n v="147.41"/>
    <x v="1"/>
  </r>
  <r>
    <s v="bfd24eac-8522-48a8-9262-04e9086e2f71"/>
    <x v="21"/>
    <x v="2"/>
    <x v="8"/>
    <x v="1"/>
    <x v="1"/>
    <x v="0"/>
    <x v="1"/>
    <x v="12"/>
    <n v="7"/>
    <n v="657.08"/>
    <n v="4599.5600000000004"/>
    <n v="0.2"/>
    <n v="775.08"/>
    <x v="2"/>
  </r>
  <r>
    <s v="60e4cde2-948a-4fb1-b03b-49186dc2c577"/>
    <x v="22"/>
    <x v="0"/>
    <x v="11"/>
    <x v="7"/>
    <x v="0"/>
    <x v="0"/>
    <x v="1"/>
    <x v="6"/>
    <n v="8"/>
    <n v="922.85"/>
    <n v="7382.8"/>
    <n v="0.1"/>
    <n v="1354.63"/>
    <x v="1"/>
  </r>
  <r>
    <s v="141dc33f-d3a6-44d8-a53b-521835ae7e8d"/>
    <x v="23"/>
    <x v="2"/>
    <x v="12"/>
    <x v="5"/>
    <x v="0"/>
    <x v="2"/>
    <x v="3"/>
    <x v="7"/>
    <n v="6"/>
    <n v="995.97"/>
    <n v="5975.82"/>
    <n v="0.1"/>
    <n v="1296.81"/>
    <x v="3"/>
  </r>
  <r>
    <s v="7c5ecda8-1937-4947-9a32-b063984de1b3"/>
    <x v="24"/>
    <x v="3"/>
    <x v="13"/>
    <x v="8"/>
    <x v="3"/>
    <x v="0"/>
    <x v="3"/>
    <x v="11"/>
    <n v="3"/>
    <n v="646.19000000000005"/>
    <n v="1938.57"/>
    <n v="0"/>
    <n v="152.71"/>
    <x v="3"/>
  </r>
  <r>
    <s v="ac38e434-19ba-4895-b002-3aa1e35a97e1"/>
    <x v="25"/>
    <x v="2"/>
    <x v="9"/>
    <x v="6"/>
    <x v="1"/>
    <x v="1"/>
    <x v="2"/>
    <x v="9"/>
    <n v="2"/>
    <n v="572.20000000000005"/>
    <n v="1144.4000000000001"/>
    <n v="0.1"/>
    <n v="211.6"/>
    <x v="1"/>
  </r>
  <r>
    <s v="2213dac2-3f7f-4d24-9efe-f830797798f1"/>
    <x v="26"/>
    <x v="2"/>
    <x v="10"/>
    <x v="0"/>
    <x v="0"/>
    <x v="0"/>
    <x v="0"/>
    <x v="1"/>
    <n v="5"/>
    <n v="153.30000000000001"/>
    <n v="766.5"/>
    <n v="0.1"/>
    <n v="159.30000000000001"/>
    <x v="3"/>
  </r>
  <r>
    <s v="36d7723b-c845-485c-aa09-baad22ff12b4"/>
    <x v="27"/>
    <x v="2"/>
    <x v="14"/>
    <x v="9"/>
    <x v="3"/>
    <x v="0"/>
    <x v="0"/>
    <x v="1"/>
    <n v="1"/>
    <n v="385.66"/>
    <n v="385.66"/>
    <n v="0.15"/>
    <n v="24.34"/>
    <x v="2"/>
  </r>
  <r>
    <s v="45952248-64d1-41db-889f-90c6cf918eab"/>
    <x v="28"/>
    <x v="2"/>
    <x v="2"/>
    <x v="2"/>
    <x v="2"/>
    <x v="2"/>
    <x v="3"/>
    <x v="7"/>
    <n v="2"/>
    <n v="841.5"/>
    <n v="1683"/>
    <n v="0.1"/>
    <n v="271.98"/>
    <x v="0"/>
  </r>
  <r>
    <s v="13d4c4ec-f409-47f5-b4aa-532fd3669a3f"/>
    <x v="29"/>
    <x v="1"/>
    <x v="15"/>
    <x v="6"/>
    <x v="1"/>
    <x v="0"/>
    <x v="1"/>
    <x v="12"/>
    <n v="2"/>
    <n v="631.36"/>
    <n v="1262.72"/>
    <n v="0.1"/>
    <n v="167.4"/>
    <x v="3"/>
  </r>
  <r>
    <s v="4ee90ded-123b-488b-8289-0c386af7618e"/>
    <x v="4"/>
    <x v="3"/>
    <x v="7"/>
    <x v="5"/>
    <x v="0"/>
    <x v="1"/>
    <x v="2"/>
    <x v="3"/>
    <n v="8"/>
    <n v="389.99"/>
    <n v="3119.92"/>
    <n v="0.2"/>
    <n v="445.98"/>
    <x v="2"/>
  </r>
  <r>
    <s v="3606f40f-60f7-4ef6-a282-5c6d8769e8fa"/>
    <x v="12"/>
    <x v="1"/>
    <x v="16"/>
    <x v="8"/>
    <x v="3"/>
    <x v="1"/>
    <x v="2"/>
    <x v="3"/>
    <n v="1"/>
    <n v="406.7"/>
    <n v="406.7"/>
    <n v="0.05"/>
    <n v="81.69"/>
    <x v="0"/>
  </r>
  <r>
    <s v="a54ea9b7-3d2d-4bef-90ff-9678bc5d1911"/>
    <x v="30"/>
    <x v="2"/>
    <x v="10"/>
    <x v="0"/>
    <x v="0"/>
    <x v="1"/>
    <x v="2"/>
    <x v="3"/>
    <n v="8"/>
    <n v="654.52"/>
    <n v="5236.16"/>
    <n v="0.15"/>
    <n v="1030.06"/>
    <x v="2"/>
  </r>
  <r>
    <s v="ea9e12fd-16aa-4835-8648-e6557f43238d"/>
    <x v="31"/>
    <x v="2"/>
    <x v="7"/>
    <x v="5"/>
    <x v="0"/>
    <x v="2"/>
    <x v="0"/>
    <x v="10"/>
    <n v="8"/>
    <n v="612"/>
    <n v="4896"/>
    <n v="0.2"/>
    <n v="245.94"/>
    <x v="1"/>
  </r>
  <r>
    <s v="403fa0dc-6c8b-42eb-b7f9-6951bf21543b"/>
    <x v="32"/>
    <x v="2"/>
    <x v="6"/>
    <x v="4"/>
    <x v="3"/>
    <x v="1"/>
    <x v="0"/>
    <x v="4"/>
    <n v="6"/>
    <n v="811.9"/>
    <n v="4871.3999999999996"/>
    <n v="0.15"/>
    <n v="475.55"/>
    <x v="3"/>
  </r>
  <r>
    <s v="49f71648-d398-4635-9115-c3c404a1bb2a"/>
    <x v="33"/>
    <x v="1"/>
    <x v="7"/>
    <x v="5"/>
    <x v="0"/>
    <x v="1"/>
    <x v="1"/>
    <x v="2"/>
    <n v="5"/>
    <n v="142.94999999999999"/>
    <n v="714.75"/>
    <n v="0.15"/>
    <n v="50.8"/>
    <x v="1"/>
  </r>
  <r>
    <s v="b8098016-cd29-444a-9786-92a67bcc7386"/>
    <x v="17"/>
    <x v="4"/>
    <x v="17"/>
    <x v="7"/>
    <x v="0"/>
    <x v="1"/>
    <x v="3"/>
    <x v="8"/>
    <n v="2"/>
    <n v="791.47"/>
    <n v="1582.94"/>
    <n v="0.2"/>
    <n v="158.58000000000001"/>
    <x v="2"/>
  </r>
  <r>
    <s v="738783ec-f761-4d6e-bb06-1aae25b76e65"/>
    <x v="34"/>
    <x v="2"/>
    <x v="16"/>
    <x v="8"/>
    <x v="3"/>
    <x v="1"/>
    <x v="1"/>
    <x v="6"/>
    <n v="10"/>
    <n v="887.14"/>
    <n v="8871.4"/>
    <n v="0.15"/>
    <n v="1422.93"/>
    <x v="1"/>
  </r>
  <r>
    <s v="ac470147-f1b0-4beb-8ee8-3d46b6ced0b0"/>
    <x v="35"/>
    <x v="1"/>
    <x v="7"/>
    <x v="5"/>
    <x v="0"/>
    <x v="0"/>
    <x v="2"/>
    <x v="3"/>
    <n v="7"/>
    <n v="240.78"/>
    <n v="1685.46"/>
    <n v="0.05"/>
    <n v="275.58"/>
    <x v="3"/>
  </r>
  <r>
    <s v="edcfc2b8-6f2f-431c-8ce7-6a227019aa1e"/>
    <x v="36"/>
    <x v="1"/>
    <x v="6"/>
    <x v="4"/>
    <x v="3"/>
    <x v="2"/>
    <x v="0"/>
    <x v="10"/>
    <n v="1"/>
    <n v="558.59"/>
    <n v="558.59"/>
    <n v="0.05"/>
    <n v="39"/>
    <x v="3"/>
  </r>
  <r>
    <s v="5af22ce6-22ce-4f7b-b608-0839edfd9768"/>
    <x v="37"/>
    <x v="1"/>
    <x v="17"/>
    <x v="7"/>
    <x v="0"/>
    <x v="1"/>
    <x v="0"/>
    <x v="0"/>
    <n v="2"/>
    <n v="797.02"/>
    <n v="1594.04"/>
    <n v="0.15"/>
    <n v="202.57"/>
    <x v="2"/>
  </r>
  <r>
    <s v="a38465f6-b576-4f21-8825-b314a8d2c11d"/>
    <x v="38"/>
    <x v="1"/>
    <x v="18"/>
    <x v="10"/>
    <x v="1"/>
    <x v="1"/>
    <x v="1"/>
    <x v="12"/>
    <n v="5"/>
    <n v="335.63"/>
    <n v="1678.15"/>
    <n v="0.15"/>
    <n v="83.68"/>
    <x v="3"/>
  </r>
  <r>
    <s v="31ffac45-3a61-4315-9ee1-c13db0265fd1"/>
    <x v="39"/>
    <x v="4"/>
    <x v="12"/>
    <x v="5"/>
    <x v="0"/>
    <x v="1"/>
    <x v="0"/>
    <x v="10"/>
    <n v="4"/>
    <n v="721.96"/>
    <n v="2887.84"/>
    <n v="0.2"/>
    <n v="383.4"/>
    <x v="1"/>
  </r>
  <r>
    <s v="eef1838b-ce90-4bda-8305-8cbda1bcf31c"/>
    <x v="40"/>
    <x v="1"/>
    <x v="4"/>
    <x v="3"/>
    <x v="2"/>
    <x v="1"/>
    <x v="2"/>
    <x v="9"/>
    <n v="4"/>
    <n v="738.27"/>
    <n v="2953.08"/>
    <n v="0.05"/>
    <n v="350.98"/>
    <x v="1"/>
  </r>
  <r>
    <s v="f93b4130-9727-428d-9fda-e5f7b8d61707"/>
    <x v="41"/>
    <x v="2"/>
    <x v="19"/>
    <x v="4"/>
    <x v="3"/>
    <x v="2"/>
    <x v="1"/>
    <x v="6"/>
    <n v="4"/>
    <n v="928.03"/>
    <n v="3712.12"/>
    <n v="0.15"/>
    <n v="270.13"/>
    <x v="2"/>
  </r>
  <r>
    <s v="ad0a6d65-418f-48df-9451-ee76331861ff"/>
    <x v="42"/>
    <x v="1"/>
    <x v="6"/>
    <x v="4"/>
    <x v="3"/>
    <x v="2"/>
    <x v="3"/>
    <x v="11"/>
    <n v="6"/>
    <n v="128.96"/>
    <n v="773.76"/>
    <n v="0.2"/>
    <n v="38.340000000000003"/>
    <x v="2"/>
  </r>
  <r>
    <s v="d7440e5b-b58d-4fa3-8261-b914013ddb80"/>
    <x v="43"/>
    <x v="3"/>
    <x v="14"/>
    <x v="9"/>
    <x v="3"/>
    <x v="2"/>
    <x v="1"/>
    <x v="6"/>
    <n v="5"/>
    <n v="604.42999999999995"/>
    <n v="3022.15"/>
    <n v="0.2"/>
    <n v="558.77"/>
    <x v="2"/>
  </r>
  <r>
    <s v="8577306e-b7a4-46e8-87a8-ae9a83493cfa"/>
    <x v="44"/>
    <x v="3"/>
    <x v="19"/>
    <x v="4"/>
    <x v="3"/>
    <x v="0"/>
    <x v="1"/>
    <x v="6"/>
    <n v="8"/>
    <n v="280.61"/>
    <n v="2244.88"/>
    <n v="0.15"/>
    <n v="376.36"/>
    <x v="3"/>
  </r>
  <r>
    <s v="ca3d7aaa-a800-4d58-927e-6c81222e6765"/>
    <x v="45"/>
    <x v="4"/>
    <x v="2"/>
    <x v="2"/>
    <x v="2"/>
    <x v="1"/>
    <x v="1"/>
    <x v="6"/>
    <n v="7"/>
    <n v="980.22"/>
    <n v="6861.54"/>
    <n v="0"/>
    <n v="1703.41"/>
    <x v="1"/>
  </r>
  <r>
    <s v="a6360dcc-97a5-4ced-9848-a6dc63d78e48"/>
    <x v="46"/>
    <x v="0"/>
    <x v="20"/>
    <x v="9"/>
    <x v="3"/>
    <x v="2"/>
    <x v="0"/>
    <x v="1"/>
    <n v="2"/>
    <n v="559.37"/>
    <n v="1118.74"/>
    <n v="0"/>
    <n v="211.03"/>
    <x v="2"/>
  </r>
  <r>
    <s v="d07a15d7-9642-437a-9f90-877b4f76b614"/>
    <x v="27"/>
    <x v="3"/>
    <x v="11"/>
    <x v="7"/>
    <x v="0"/>
    <x v="0"/>
    <x v="2"/>
    <x v="9"/>
    <n v="1"/>
    <n v="480.82"/>
    <n v="480.82"/>
    <n v="0.1"/>
    <n v="35.64"/>
    <x v="1"/>
  </r>
  <r>
    <s v="a7575e2d-89a5-4446-9c24-9a2000fb1a08"/>
    <x v="47"/>
    <x v="3"/>
    <x v="9"/>
    <x v="6"/>
    <x v="1"/>
    <x v="0"/>
    <x v="2"/>
    <x v="3"/>
    <n v="3"/>
    <n v="790.28"/>
    <n v="2370.84"/>
    <n v="0.1"/>
    <n v="374.18"/>
    <x v="3"/>
  </r>
  <r>
    <s v="1f37aace-09e4-4bf8-afa5-9cef507632e6"/>
    <x v="46"/>
    <x v="4"/>
    <x v="19"/>
    <x v="4"/>
    <x v="3"/>
    <x v="1"/>
    <x v="0"/>
    <x v="4"/>
    <n v="7"/>
    <n v="753.38"/>
    <n v="5273.66"/>
    <n v="0.2"/>
    <n v="668.65"/>
    <x v="0"/>
  </r>
  <r>
    <s v="0fb85d5d-3d49-4055-be55-16f38527acd7"/>
    <x v="48"/>
    <x v="2"/>
    <x v="1"/>
    <x v="1"/>
    <x v="1"/>
    <x v="0"/>
    <x v="1"/>
    <x v="12"/>
    <n v="1"/>
    <n v="112.74"/>
    <n v="112.74"/>
    <n v="0.1"/>
    <n v="14.52"/>
    <x v="0"/>
  </r>
  <r>
    <s v="1e23c23a-ca8d-41c9-96c1-62be514b1821"/>
    <x v="49"/>
    <x v="4"/>
    <x v="4"/>
    <x v="3"/>
    <x v="2"/>
    <x v="0"/>
    <x v="0"/>
    <x v="0"/>
    <n v="3"/>
    <n v="981.29"/>
    <n v="2943.87"/>
    <n v="0.05"/>
    <n v="441.67"/>
    <x v="2"/>
  </r>
  <r>
    <s v="6c0797f5-ca55-49ae-8eb0-b1061c6bf22a"/>
    <x v="50"/>
    <x v="1"/>
    <x v="10"/>
    <x v="0"/>
    <x v="0"/>
    <x v="2"/>
    <x v="2"/>
    <x v="3"/>
    <n v="9"/>
    <n v="680.87"/>
    <n v="6127.83"/>
    <n v="0.1"/>
    <n v="335.82"/>
    <x v="0"/>
  </r>
  <r>
    <s v="b1cff26e-c97b-46be-945b-c9afffa8843e"/>
    <x v="42"/>
    <x v="0"/>
    <x v="20"/>
    <x v="9"/>
    <x v="3"/>
    <x v="0"/>
    <x v="3"/>
    <x v="7"/>
    <n v="8"/>
    <n v="621.71"/>
    <n v="4973.68"/>
    <n v="0"/>
    <n v="436.05"/>
    <x v="0"/>
  </r>
  <r>
    <s v="2cab8068-a961-4bd1-8227-e609644c2f02"/>
    <x v="51"/>
    <x v="1"/>
    <x v="15"/>
    <x v="6"/>
    <x v="1"/>
    <x v="1"/>
    <x v="2"/>
    <x v="9"/>
    <n v="3"/>
    <n v="277.39"/>
    <n v="832.17"/>
    <n v="0.05"/>
    <n v="118"/>
    <x v="1"/>
  </r>
  <r>
    <s v="2cd80ff0-a487-410e-a6c1-0a4f462b001e"/>
    <x v="52"/>
    <x v="4"/>
    <x v="9"/>
    <x v="6"/>
    <x v="1"/>
    <x v="1"/>
    <x v="1"/>
    <x v="12"/>
    <n v="6"/>
    <n v="421.29"/>
    <n v="2527.7399999999998"/>
    <n v="0"/>
    <n v="273.76"/>
    <x v="3"/>
  </r>
  <r>
    <s v="9a6a776f-e0ca-47e0-8b4a-a4d542695077"/>
    <x v="53"/>
    <x v="0"/>
    <x v="0"/>
    <x v="0"/>
    <x v="0"/>
    <x v="0"/>
    <x v="0"/>
    <x v="4"/>
    <n v="6"/>
    <n v="487.18"/>
    <n v="2923.08"/>
    <n v="0.2"/>
    <n v="510.68"/>
    <x v="0"/>
  </r>
  <r>
    <s v="e481e52d-4fcb-465c-ac7f-16d6842368a9"/>
    <x v="53"/>
    <x v="1"/>
    <x v="21"/>
    <x v="11"/>
    <x v="2"/>
    <x v="1"/>
    <x v="2"/>
    <x v="5"/>
    <n v="4"/>
    <n v="485.27"/>
    <n v="1941.08"/>
    <n v="0.1"/>
    <n v="356.29"/>
    <x v="0"/>
  </r>
  <r>
    <s v="6d19a2aa-1df1-461b-9887-154875429de6"/>
    <x v="54"/>
    <x v="3"/>
    <x v="3"/>
    <x v="2"/>
    <x v="2"/>
    <x v="0"/>
    <x v="0"/>
    <x v="10"/>
    <n v="9"/>
    <n v="286.68"/>
    <n v="2580.12"/>
    <n v="0.05"/>
    <n v="534.02"/>
    <x v="2"/>
  </r>
  <r>
    <s v="4115d210-efc4-4d56-827d-2923c08194b8"/>
    <x v="55"/>
    <x v="1"/>
    <x v="7"/>
    <x v="5"/>
    <x v="0"/>
    <x v="0"/>
    <x v="1"/>
    <x v="6"/>
    <n v="8"/>
    <n v="261.89"/>
    <n v="2095.12"/>
    <n v="0.05"/>
    <n v="181.18"/>
    <x v="2"/>
  </r>
  <r>
    <s v="5f40ab5e-615d-4b2d-ab52-8d62ee2715fc"/>
    <x v="56"/>
    <x v="0"/>
    <x v="5"/>
    <x v="3"/>
    <x v="2"/>
    <x v="0"/>
    <x v="0"/>
    <x v="0"/>
    <n v="9"/>
    <n v="302.95999999999998"/>
    <n v="2726.64"/>
    <n v="0"/>
    <n v="356.95"/>
    <x v="2"/>
  </r>
  <r>
    <s v="94ce59c6-ec02-4764-b265-7a15eedd9722"/>
    <x v="57"/>
    <x v="2"/>
    <x v="20"/>
    <x v="9"/>
    <x v="3"/>
    <x v="0"/>
    <x v="2"/>
    <x v="9"/>
    <n v="5"/>
    <n v="474.96"/>
    <n v="2374.8000000000002"/>
    <n v="0.1"/>
    <n v="521.34"/>
    <x v="0"/>
  </r>
  <r>
    <s v="d68d6a41-775b-4fdc-a671-9dc7861e18ac"/>
    <x v="17"/>
    <x v="0"/>
    <x v="20"/>
    <x v="9"/>
    <x v="3"/>
    <x v="1"/>
    <x v="1"/>
    <x v="12"/>
    <n v="9"/>
    <n v="118.64"/>
    <n v="1067.76"/>
    <n v="0"/>
    <n v="139.16"/>
    <x v="2"/>
  </r>
  <r>
    <s v="d038f793-065c-4ee2-8ca9-ea54d4cc291b"/>
    <x v="36"/>
    <x v="2"/>
    <x v="5"/>
    <x v="3"/>
    <x v="2"/>
    <x v="0"/>
    <x v="1"/>
    <x v="2"/>
    <n v="10"/>
    <n v="527.38"/>
    <n v="5273.8"/>
    <n v="0.1"/>
    <n v="423.11"/>
    <x v="2"/>
  </r>
  <r>
    <s v="97a1ecbd-3501-4b26-b8be-70aad7f7517e"/>
    <x v="58"/>
    <x v="3"/>
    <x v="1"/>
    <x v="1"/>
    <x v="1"/>
    <x v="2"/>
    <x v="0"/>
    <x v="1"/>
    <n v="10"/>
    <n v="605.87"/>
    <n v="6058.7"/>
    <n v="0"/>
    <n v="1403.74"/>
    <x v="0"/>
  </r>
  <r>
    <s v="a4ed01c9-0085-4919-90d4-f90f66a7c959"/>
    <x v="59"/>
    <x v="1"/>
    <x v="0"/>
    <x v="0"/>
    <x v="0"/>
    <x v="2"/>
    <x v="3"/>
    <x v="7"/>
    <n v="1"/>
    <n v="286.08"/>
    <n v="286.08"/>
    <n v="0.1"/>
    <n v="28.74"/>
    <x v="0"/>
  </r>
  <r>
    <s v="636116ee-baf7-425b-9516-1c35c3828fdc"/>
    <x v="60"/>
    <x v="0"/>
    <x v="18"/>
    <x v="10"/>
    <x v="1"/>
    <x v="2"/>
    <x v="2"/>
    <x v="3"/>
    <n v="3"/>
    <n v="806.06"/>
    <n v="2418.1799999999998"/>
    <n v="0.15"/>
    <n v="402.3"/>
    <x v="0"/>
  </r>
  <r>
    <s v="705c88f0-3267-4e78-baf5-d5a2c2639659"/>
    <x v="61"/>
    <x v="1"/>
    <x v="22"/>
    <x v="10"/>
    <x v="1"/>
    <x v="2"/>
    <x v="2"/>
    <x v="9"/>
    <n v="2"/>
    <n v="933.29"/>
    <n v="1866.58"/>
    <n v="0.2"/>
    <n v="300.48"/>
    <x v="0"/>
  </r>
  <r>
    <s v="36201ca9-5071-4e2f-bf65-2855550f5a49"/>
    <x v="62"/>
    <x v="0"/>
    <x v="19"/>
    <x v="4"/>
    <x v="3"/>
    <x v="1"/>
    <x v="0"/>
    <x v="4"/>
    <n v="10"/>
    <n v="755.73"/>
    <n v="7557.3"/>
    <n v="0.05"/>
    <n v="645.08000000000004"/>
    <x v="3"/>
  </r>
  <r>
    <s v="600150c3-a1db-4d84-9c2e-a61650e92cfb"/>
    <x v="42"/>
    <x v="4"/>
    <x v="13"/>
    <x v="8"/>
    <x v="3"/>
    <x v="2"/>
    <x v="2"/>
    <x v="5"/>
    <n v="9"/>
    <n v="740.38"/>
    <n v="6663.42"/>
    <n v="0.05"/>
    <n v="350.49"/>
    <x v="3"/>
  </r>
  <r>
    <s v="81f57538-d6e8-4be3-aa1d-2590c5c253cf"/>
    <x v="63"/>
    <x v="2"/>
    <x v="3"/>
    <x v="2"/>
    <x v="2"/>
    <x v="0"/>
    <x v="0"/>
    <x v="10"/>
    <n v="7"/>
    <n v="181.01"/>
    <n v="1267.07"/>
    <n v="0.05"/>
    <n v="67.03"/>
    <x v="0"/>
  </r>
  <r>
    <s v="5d94d729-9dd8-4d48-bda8-0e4f23c08c2a"/>
    <x v="64"/>
    <x v="4"/>
    <x v="1"/>
    <x v="1"/>
    <x v="1"/>
    <x v="2"/>
    <x v="3"/>
    <x v="7"/>
    <n v="5"/>
    <n v="628.74"/>
    <n v="3143.7"/>
    <n v="0.15"/>
    <n v="654.28"/>
    <x v="3"/>
  </r>
  <r>
    <s v="70ffab94-7626-4ff4-872b-03b58a0e4936"/>
    <x v="65"/>
    <x v="4"/>
    <x v="15"/>
    <x v="6"/>
    <x v="1"/>
    <x v="1"/>
    <x v="0"/>
    <x v="0"/>
    <n v="6"/>
    <n v="462.12"/>
    <n v="2772.72"/>
    <n v="0.05"/>
    <n v="319.98"/>
    <x v="2"/>
  </r>
  <r>
    <s v="fb4a521b-85e1-4b48-b61c-1284da3d8328"/>
    <x v="66"/>
    <x v="2"/>
    <x v="3"/>
    <x v="2"/>
    <x v="2"/>
    <x v="2"/>
    <x v="0"/>
    <x v="0"/>
    <n v="9"/>
    <n v="639.66999999999996"/>
    <n v="5757.03"/>
    <n v="0"/>
    <n v="879.52"/>
    <x v="0"/>
  </r>
  <r>
    <s v="70569867-78e1-40dd-aba2-b49843c9cb3b"/>
    <x v="67"/>
    <x v="1"/>
    <x v="0"/>
    <x v="0"/>
    <x v="0"/>
    <x v="0"/>
    <x v="1"/>
    <x v="6"/>
    <n v="5"/>
    <n v="686.07"/>
    <n v="3430.35"/>
    <n v="0.1"/>
    <n v="213.54"/>
    <x v="0"/>
  </r>
  <r>
    <s v="a16eb7ec-8b57-41d3-934d-d7255ba58126"/>
    <x v="68"/>
    <x v="1"/>
    <x v="18"/>
    <x v="10"/>
    <x v="1"/>
    <x v="2"/>
    <x v="3"/>
    <x v="11"/>
    <n v="6"/>
    <n v="921.07"/>
    <n v="5526.42"/>
    <n v="0.05"/>
    <n v="370.05"/>
    <x v="3"/>
  </r>
  <r>
    <s v="2d64d230-deb0-416e-add3-30425abae02d"/>
    <x v="69"/>
    <x v="0"/>
    <x v="7"/>
    <x v="5"/>
    <x v="0"/>
    <x v="2"/>
    <x v="1"/>
    <x v="12"/>
    <n v="2"/>
    <n v="819.21"/>
    <n v="1638.42"/>
    <n v="0"/>
    <n v="239.05"/>
    <x v="1"/>
  </r>
  <r>
    <s v="934ea6d8-f6f8-40dd-8b77-c5c63366a268"/>
    <x v="70"/>
    <x v="4"/>
    <x v="5"/>
    <x v="3"/>
    <x v="2"/>
    <x v="0"/>
    <x v="3"/>
    <x v="8"/>
    <n v="3"/>
    <n v="710.48"/>
    <n v="2131.44"/>
    <n v="0"/>
    <n v="423.93"/>
    <x v="0"/>
  </r>
  <r>
    <s v="6fb7bdbc-425b-43e4-bcfd-d6dcc5d6a8c1"/>
    <x v="71"/>
    <x v="3"/>
    <x v="10"/>
    <x v="0"/>
    <x v="0"/>
    <x v="2"/>
    <x v="0"/>
    <x v="10"/>
    <n v="4"/>
    <n v="131.96"/>
    <n v="527.84"/>
    <n v="0"/>
    <n v="71.239999999999995"/>
    <x v="2"/>
  </r>
  <r>
    <s v="552f881d-7203-41ae-a994-810a09032cd4"/>
    <x v="52"/>
    <x v="2"/>
    <x v="9"/>
    <x v="6"/>
    <x v="1"/>
    <x v="1"/>
    <x v="0"/>
    <x v="4"/>
    <n v="1"/>
    <n v="793.47"/>
    <n v="793.47"/>
    <n v="0.2"/>
    <n v="107.05"/>
    <x v="1"/>
  </r>
  <r>
    <s v="1f67ab1f-1418-4e24-be09-98bf274f72a1"/>
    <x v="72"/>
    <x v="1"/>
    <x v="4"/>
    <x v="3"/>
    <x v="2"/>
    <x v="0"/>
    <x v="2"/>
    <x v="9"/>
    <n v="2"/>
    <n v="782.81"/>
    <n v="1565.62"/>
    <n v="0.2"/>
    <n v="114.08"/>
    <x v="1"/>
  </r>
  <r>
    <s v="8d886885-8f16-48c9-bc10-87f5f8add21f"/>
    <x v="73"/>
    <x v="3"/>
    <x v="4"/>
    <x v="3"/>
    <x v="2"/>
    <x v="0"/>
    <x v="1"/>
    <x v="6"/>
    <n v="10"/>
    <n v="349.14"/>
    <n v="3491.4"/>
    <n v="0.05"/>
    <n v="733.11"/>
    <x v="0"/>
  </r>
  <r>
    <s v="c5f7007c-a395-4b3b-8b3c-a74844ad360b"/>
    <x v="74"/>
    <x v="4"/>
    <x v="22"/>
    <x v="10"/>
    <x v="1"/>
    <x v="1"/>
    <x v="1"/>
    <x v="12"/>
    <n v="5"/>
    <n v="173.43"/>
    <n v="867.15"/>
    <n v="0.2"/>
    <n v="35.29"/>
    <x v="2"/>
  </r>
  <r>
    <s v="d6b81aae-90eb-4620-9b20-279659abfd23"/>
    <x v="63"/>
    <x v="0"/>
    <x v="20"/>
    <x v="9"/>
    <x v="3"/>
    <x v="0"/>
    <x v="0"/>
    <x v="10"/>
    <n v="3"/>
    <n v="835.07"/>
    <n v="2505.21"/>
    <n v="0.15"/>
    <n v="287.08999999999997"/>
    <x v="1"/>
  </r>
  <r>
    <s v="1681bf39-de3c-4e02-a2eb-5e4667445d4e"/>
    <x v="75"/>
    <x v="0"/>
    <x v="15"/>
    <x v="6"/>
    <x v="1"/>
    <x v="1"/>
    <x v="1"/>
    <x v="2"/>
    <n v="8"/>
    <n v="762.75"/>
    <n v="6102"/>
    <n v="0.1"/>
    <n v="886.52"/>
    <x v="2"/>
  </r>
  <r>
    <s v="c73174f6-b771-4d0a-b223-f85c69b0b9bb"/>
    <x v="76"/>
    <x v="0"/>
    <x v="2"/>
    <x v="2"/>
    <x v="2"/>
    <x v="2"/>
    <x v="0"/>
    <x v="4"/>
    <n v="10"/>
    <n v="736.7"/>
    <n v="7367"/>
    <n v="0.15"/>
    <n v="595.98"/>
    <x v="3"/>
  </r>
  <r>
    <s v="d51b0d0d-abf5-4e64-9430-cc9a58d26c9f"/>
    <x v="77"/>
    <x v="0"/>
    <x v="16"/>
    <x v="8"/>
    <x v="3"/>
    <x v="0"/>
    <x v="2"/>
    <x v="5"/>
    <n v="3"/>
    <n v="14.76"/>
    <n v="44.28"/>
    <n v="0.15"/>
    <n v="6.94"/>
    <x v="0"/>
  </r>
  <r>
    <s v="fb7eff62-5761-41c5-9090-934439cd80a0"/>
    <x v="14"/>
    <x v="0"/>
    <x v="22"/>
    <x v="10"/>
    <x v="1"/>
    <x v="2"/>
    <x v="2"/>
    <x v="5"/>
    <n v="3"/>
    <n v="66.58"/>
    <n v="199.74"/>
    <n v="0.05"/>
    <n v="22.34"/>
    <x v="1"/>
  </r>
  <r>
    <s v="e48e7796-ee21-4b31-ab18-5072d165b0d5"/>
    <x v="64"/>
    <x v="1"/>
    <x v="11"/>
    <x v="7"/>
    <x v="0"/>
    <x v="0"/>
    <x v="2"/>
    <x v="9"/>
    <n v="7"/>
    <n v="357.39"/>
    <n v="2501.73"/>
    <n v="0.2"/>
    <n v="480.39"/>
    <x v="0"/>
  </r>
  <r>
    <s v="5d4068b2-fbc0-4b59-b05e-6ffbe73b3fea"/>
    <x v="7"/>
    <x v="2"/>
    <x v="5"/>
    <x v="3"/>
    <x v="2"/>
    <x v="1"/>
    <x v="2"/>
    <x v="3"/>
    <n v="8"/>
    <n v="498.28"/>
    <n v="3986.24"/>
    <n v="0.05"/>
    <n v="211.86"/>
    <x v="0"/>
  </r>
  <r>
    <s v="0c5ac849-2b94-409c-8f4c-05a3f894005c"/>
    <x v="78"/>
    <x v="3"/>
    <x v="6"/>
    <x v="4"/>
    <x v="3"/>
    <x v="2"/>
    <x v="0"/>
    <x v="4"/>
    <n v="3"/>
    <n v="304.14999999999998"/>
    <n v="912.45"/>
    <n v="0.2"/>
    <n v="50.56"/>
    <x v="0"/>
  </r>
  <r>
    <s v="a2b86ed4-5250-4e88-963e-36b49c1eb97b"/>
    <x v="79"/>
    <x v="0"/>
    <x v="13"/>
    <x v="8"/>
    <x v="3"/>
    <x v="2"/>
    <x v="0"/>
    <x v="1"/>
    <n v="9"/>
    <n v="344.93"/>
    <n v="3104.37"/>
    <n v="0.2"/>
    <n v="395.68"/>
    <x v="0"/>
  </r>
  <r>
    <s v="f8a1a16d-d5eb-40b1-a1c5-a29cd0df39b1"/>
    <x v="80"/>
    <x v="1"/>
    <x v="9"/>
    <x v="6"/>
    <x v="1"/>
    <x v="2"/>
    <x v="0"/>
    <x v="1"/>
    <n v="8"/>
    <n v="37.909999999999997"/>
    <n v="303.27999999999997"/>
    <n v="0.05"/>
    <n v="46.48"/>
    <x v="3"/>
  </r>
  <r>
    <s v="80410bde-5c97-48b0-98cd-94964ea0db5c"/>
    <x v="81"/>
    <x v="3"/>
    <x v="11"/>
    <x v="7"/>
    <x v="0"/>
    <x v="2"/>
    <x v="3"/>
    <x v="8"/>
    <n v="8"/>
    <n v="764.48"/>
    <n v="6115.84"/>
    <n v="0.2"/>
    <n v="905.17"/>
    <x v="3"/>
  </r>
  <r>
    <s v="bbd78977-5456-4b00-bc1d-e96a38641ddb"/>
    <x v="52"/>
    <x v="0"/>
    <x v="10"/>
    <x v="0"/>
    <x v="0"/>
    <x v="2"/>
    <x v="2"/>
    <x v="5"/>
    <n v="10"/>
    <n v="970.93"/>
    <n v="9709.2999999999993"/>
    <n v="0.2"/>
    <n v="1439.29"/>
    <x v="3"/>
  </r>
  <r>
    <s v="70330abd-8202-4ea8-a834-eec7bc45f18a"/>
    <x v="82"/>
    <x v="3"/>
    <x v="22"/>
    <x v="10"/>
    <x v="1"/>
    <x v="2"/>
    <x v="3"/>
    <x v="7"/>
    <n v="10"/>
    <n v="28.85"/>
    <n v="288.5"/>
    <n v="0.1"/>
    <n v="32.75"/>
    <x v="0"/>
  </r>
  <r>
    <s v="cb979bf5-e974-4b52-b406-596bd369bd72"/>
    <x v="83"/>
    <x v="2"/>
    <x v="3"/>
    <x v="2"/>
    <x v="2"/>
    <x v="0"/>
    <x v="2"/>
    <x v="5"/>
    <n v="4"/>
    <n v="236.15"/>
    <n v="944.6"/>
    <n v="0.1"/>
    <n v="143.25"/>
    <x v="2"/>
  </r>
  <r>
    <s v="ab8034e3-126d-41af-9c73-7a46293e15b1"/>
    <x v="84"/>
    <x v="2"/>
    <x v="15"/>
    <x v="6"/>
    <x v="1"/>
    <x v="0"/>
    <x v="0"/>
    <x v="0"/>
    <n v="1"/>
    <n v="461.99"/>
    <n v="461.99"/>
    <n v="0.15"/>
    <n v="64.25"/>
    <x v="0"/>
  </r>
  <r>
    <s v="9b01840e-6573-41aa-ad10-ee48775c0c7d"/>
    <x v="85"/>
    <x v="4"/>
    <x v="1"/>
    <x v="1"/>
    <x v="1"/>
    <x v="1"/>
    <x v="2"/>
    <x v="5"/>
    <n v="7"/>
    <n v="571.21"/>
    <n v="3998.47"/>
    <n v="0.1"/>
    <n v="592"/>
    <x v="0"/>
  </r>
  <r>
    <s v="67b073bf-42b0-4a2d-b641-98dc1b9b37ac"/>
    <x v="86"/>
    <x v="4"/>
    <x v="11"/>
    <x v="7"/>
    <x v="0"/>
    <x v="0"/>
    <x v="2"/>
    <x v="9"/>
    <n v="3"/>
    <n v="615.6"/>
    <n v="1846.8"/>
    <n v="0.1"/>
    <n v="405.37"/>
    <x v="0"/>
  </r>
  <r>
    <s v="7015c061-0ddf-4086-93a2-ff2d38b04856"/>
    <x v="87"/>
    <x v="1"/>
    <x v="8"/>
    <x v="1"/>
    <x v="1"/>
    <x v="2"/>
    <x v="1"/>
    <x v="2"/>
    <n v="5"/>
    <n v="996.24"/>
    <n v="4981.2"/>
    <n v="0.15"/>
    <n v="893.04"/>
    <x v="1"/>
  </r>
  <r>
    <s v="108a0115-0640-48b7-8614-dbb7b62d1907"/>
    <x v="88"/>
    <x v="4"/>
    <x v="2"/>
    <x v="2"/>
    <x v="2"/>
    <x v="0"/>
    <x v="0"/>
    <x v="4"/>
    <n v="7"/>
    <n v="211.32"/>
    <n v="1479.24"/>
    <n v="0"/>
    <n v="266.72000000000003"/>
    <x v="3"/>
  </r>
  <r>
    <s v="5c886a08-7091-4f0a-8093-285511f3597a"/>
    <x v="89"/>
    <x v="3"/>
    <x v="3"/>
    <x v="2"/>
    <x v="2"/>
    <x v="2"/>
    <x v="3"/>
    <x v="8"/>
    <n v="5"/>
    <n v="625.71"/>
    <n v="3128.55"/>
    <n v="0.15"/>
    <n v="490.14"/>
    <x v="3"/>
  </r>
  <r>
    <s v="cdfdd34d-ff09-4d70-a7a6-0ca9ae2e6973"/>
    <x v="90"/>
    <x v="3"/>
    <x v="0"/>
    <x v="0"/>
    <x v="0"/>
    <x v="0"/>
    <x v="1"/>
    <x v="6"/>
    <n v="5"/>
    <n v="937.29"/>
    <n v="4686.45"/>
    <n v="0.2"/>
    <n v="794.02"/>
    <x v="3"/>
  </r>
  <r>
    <s v="65000cec-9903-49e3-9d35-87dcf6ecdb6d"/>
    <x v="30"/>
    <x v="1"/>
    <x v="8"/>
    <x v="1"/>
    <x v="1"/>
    <x v="2"/>
    <x v="2"/>
    <x v="3"/>
    <n v="4"/>
    <n v="152.16999999999999"/>
    <n v="608.67999999999995"/>
    <n v="0.1"/>
    <n v="119.87"/>
    <x v="2"/>
  </r>
  <r>
    <s v="65c445a3-ff5c-437d-9b4d-78d2993af1a8"/>
    <x v="35"/>
    <x v="0"/>
    <x v="8"/>
    <x v="1"/>
    <x v="1"/>
    <x v="2"/>
    <x v="2"/>
    <x v="5"/>
    <n v="3"/>
    <n v="257.93"/>
    <n v="773.79"/>
    <n v="0.2"/>
    <n v="60.19"/>
    <x v="0"/>
  </r>
  <r>
    <s v="6ff7dbc0-467b-4700-9788-74f8a37b757f"/>
    <x v="91"/>
    <x v="3"/>
    <x v="7"/>
    <x v="5"/>
    <x v="0"/>
    <x v="2"/>
    <x v="1"/>
    <x v="6"/>
    <n v="8"/>
    <n v="560.71"/>
    <n v="4485.68"/>
    <n v="0.15"/>
    <n v="512.46"/>
    <x v="3"/>
  </r>
  <r>
    <s v="6b0512de-f295-47f1-a36f-bebac77f45ea"/>
    <x v="23"/>
    <x v="2"/>
    <x v="17"/>
    <x v="7"/>
    <x v="0"/>
    <x v="2"/>
    <x v="0"/>
    <x v="10"/>
    <n v="9"/>
    <n v="177.63"/>
    <n v="1598.67"/>
    <n v="0"/>
    <n v="388.09"/>
    <x v="0"/>
  </r>
  <r>
    <s v="41d11724-5ff1-43d6-970d-26134f64f476"/>
    <x v="92"/>
    <x v="4"/>
    <x v="18"/>
    <x v="10"/>
    <x v="1"/>
    <x v="2"/>
    <x v="2"/>
    <x v="9"/>
    <n v="7"/>
    <n v="896.98"/>
    <n v="6278.86"/>
    <n v="0"/>
    <n v="812.35"/>
    <x v="1"/>
  </r>
  <r>
    <s v="5b3b4171-dd3c-448c-a651-0ea2f6297bd5"/>
    <x v="93"/>
    <x v="4"/>
    <x v="8"/>
    <x v="1"/>
    <x v="1"/>
    <x v="0"/>
    <x v="1"/>
    <x v="6"/>
    <n v="8"/>
    <n v="884.8"/>
    <n v="7078.4"/>
    <n v="0.05"/>
    <n v="1142.92"/>
    <x v="0"/>
  </r>
  <r>
    <s v="3a68e4c8-552c-4e20-8225-b48fa542b11c"/>
    <x v="94"/>
    <x v="0"/>
    <x v="6"/>
    <x v="4"/>
    <x v="3"/>
    <x v="1"/>
    <x v="3"/>
    <x v="7"/>
    <n v="2"/>
    <n v="176.8"/>
    <n v="353.6"/>
    <n v="0.1"/>
    <n v="43.88"/>
    <x v="2"/>
  </r>
  <r>
    <s v="cbf4fbc9-2fc6-4a8c-971e-cb3601b7ab6c"/>
    <x v="95"/>
    <x v="2"/>
    <x v="9"/>
    <x v="6"/>
    <x v="1"/>
    <x v="2"/>
    <x v="3"/>
    <x v="8"/>
    <n v="8"/>
    <n v="683.37"/>
    <n v="5466.96"/>
    <n v="0.1"/>
    <n v="1111.42"/>
    <x v="3"/>
  </r>
  <r>
    <s v="d784f573-7a5d-4e83-91c5-d84f4713486d"/>
    <x v="96"/>
    <x v="1"/>
    <x v="19"/>
    <x v="4"/>
    <x v="3"/>
    <x v="1"/>
    <x v="1"/>
    <x v="2"/>
    <n v="1"/>
    <n v="691.3"/>
    <n v="691.3"/>
    <n v="0.05"/>
    <n v="66.069999999999993"/>
    <x v="1"/>
  </r>
  <r>
    <s v="b95fe5f0-6ed9-4222-ad38-b459ec3dbaf4"/>
    <x v="97"/>
    <x v="4"/>
    <x v="21"/>
    <x v="11"/>
    <x v="2"/>
    <x v="1"/>
    <x v="2"/>
    <x v="5"/>
    <n v="7"/>
    <n v="9.85"/>
    <n v="68.95"/>
    <n v="0.15"/>
    <n v="13.8"/>
    <x v="3"/>
  </r>
  <r>
    <s v="9362e6e3-fa6f-4e9d-add5-5e839b637701"/>
    <x v="98"/>
    <x v="3"/>
    <x v="18"/>
    <x v="10"/>
    <x v="1"/>
    <x v="1"/>
    <x v="3"/>
    <x v="7"/>
    <n v="6"/>
    <n v="879.71"/>
    <n v="5278.26"/>
    <n v="0.15"/>
    <n v="932.58"/>
    <x v="3"/>
  </r>
  <r>
    <s v="63365da8-5ce0-414b-843d-4eaeabd9f3ec"/>
    <x v="99"/>
    <x v="1"/>
    <x v="14"/>
    <x v="9"/>
    <x v="3"/>
    <x v="0"/>
    <x v="3"/>
    <x v="11"/>
    <n v="2"/>
    <n v="824.75"/>
    <n v="1649.5"/>
    <n v="0.1"/>
    <n v="224.56"/>
    <x v="3"/>
  </r>
  <r>
    <s v="383521f7-f2e6-4b3a-9352-bd3f46f303ff"/>
    <x v="36"/>
    <x v="2"/>
    <x v="2"/>
    <x v="2"/>
    <x v="2"/>
    <x v="0"/>
    <x v="3"/>
    <x v="7"/>
    <n v="8"/>
    <n v="791.44"/>
    <n v="6331.52"/>
    <n v="0.05"/>
    <n v="304.45"/>
    <x v="2"/>
  </r>
  <r>
    <s v="c6612a0a-5b39-4f59-867b-1615da9af1d4"/>
    <x v="100"/>
    <x v="2"/>
    <x v="2"/>
    <x v="2"/>
    <x v="2"/>
    <x v="1"/>
    <x v="1"/>
    <x v="12"/>
    <n v="9"/>
    <n v="714.14"/>
    <n v="6427.26"/>
    <n v="0.05"/>
    <n v="1339.59"/>
    <x v="2"/>
  </r>
  <r>
    <s v="79cdf609-f98a-4533-9988-b91ecde89c9b"/>
    <x v="101"/>
    <x v="1"/>
    <x v="20"/>
    <x v="9"/>
    <x v="3"/>
    <x v="1"/>
    <x v="2"/>
    <x v="5"/>
    <n v="5"/>
    <n v="200.27"/>
    <n v="1001.35"/>
    <n v="0.15"/>
    <n v="105.13"/>
    <x v="0"/>
  </r>
  <r>
    <s v="ba672295-8ee9-42e8-9d02-d0ed29e20dbd"/>
    <x v="84"/>
    <x v="4"/>
    <x v="7"/>
    <x v="5"/>
    <x v="0"/>
    <x v="0"/>
    <x v="2"/>
    <x v="5"/>
    <n v="2"/>
    <n v="974.18"/>
    <n v="1948.36"/>
    <n v="0.05"/>
    <n v="189.46"/>
    <x v="2"/>
  </r>
  <r>
    <s v="3c8d57c4-7a0f-4851-96dc-6fd48c7e9471"/>
    <x v="102"/>
    <x v="4"/>
    <x v="19"/>
    <x v="4"/>
    <x v="3"/>
    <x v="2"/>
    <x v="1"/>
    <x v="6"/>
    <n v="2"/>
    <n v="958.12"/>
    <n v="1916.24"/>
    <n v="0.05"/>
    <n v="435.9"/>
    <x v="2"/>
  </r>
  <r>
    <s v="fb96bed5-4bb3-47de-bc3d-3634df904158"/>
    <x v="103"/>
    <x v="2"/>
    <x v="14"/>
    <x v="9"/>
    <x v="3"/>
    <x v="1"/>
    <x v="0"/>
    <x v="4"/>
    <n v="4"/>
    <n v="946.16"/>
    <n v="3784.64"/>
    <n v="0.1"/>
    <n v="366.48"/>
    <x v="2"/>
  </r>
  <r>
    <s v="3d1faa5d-1a17-48a0-b0cd-b796f7a43e94"/>
    <x v="104"/>
    <x v="4"/>
    <x v="17"/>
    <x v="7"/>
    <x v="0"/>
    <x v="1"/>
    <x v="2"/>
    <x v="5"/>
    <n v="4"/>
    <n v="419.49"/>
    <n v="1677.96"/>
    <n v="0.15"/>
    <n v="297.37"/>
    <x v="0"/>
  </r>
  <r>
    <s v="319d98c2-8644-456d-ab41-b7c5a0b4a129"/>
    <x v="105"/>
    <x v="3"/>
    <x v="5"/>
    <x v="3"/>
    <x v="2"/>
    <x v="2"/>
    <x v="0"/>
    <x v="0"/>
    <n v="2"/>
    <n v="12.3"/>
    <n v="24.6"/>
    <n v="0.05"/>
    <n v="5.24"/>
    <x v="3"/>
  </r>
  <r>
    <s v="2950d1d7-3843-4d2d-9828-3d7f5a687edb"/>
    <x v="5"/>
    <x v="0"/>
    <x v="0"/>
    <x v="0"/>
    <x v="0"/>
    <x v="0"/>
    <x v="2"/>
    <x v="3"/>
    <n v="2"/>
    <n v="97.09"/>
    <n v="194.18"/>
    <n v="0"/>
    <n v="11.73"/>
    <x v="0"/>
  </r>
  <r>
    <s v="8f6ed459-fb6b-475c-b94f-8401e410f8f3"/>
    <x v="106"/>
    <x v="2"/>
    <x v="21"/>
    <x v="11"/>
    <x v="2"/>
    <x v="2"/>
    <x v="1"/>
    <x v="2"/>
    <n v="5"/>
    <n v="977.57"/>
    <n v="4887.8500000000004"/>
    <n v="0.1"/>
    <n v="336.3"/>
    <x v="3"/>
  </r>
  <r>
    <s v="bf43204d-be08-4be2-9ea0-2228f426e864"/>
    <x v="36"/>
    <x v="1"/>
    <x v="5"/>
    <x v="3"/>
    <x v="2"/>
    <x v="2"/>
    <x v="0"/>
    <x v="10"/>
    <n v="2"/>
    <n v="318.68"/>
    <n v="637.36"/>
    <n v="0.2"/>
    <n v="69.64"/>
    <x v="2"/>
  </r>
  <r>
    <s v="85e205fb-8b15-4339-9d9e-61d35e00cfe6"/>
    <x v="30"/>
    <x v="0"/>
    <x v="4"/>
    <x v="3"/>
    <x v="2"/>
    <x v="2"/>
    <x v="3"/>
    <x v="11"/>
    <n v="7"/>
    <n v="284.36"/>
    <n v="1990.52"/>
    <n v="0.1"/>
    <n v="309.18"/>
    <x v="0"/>
  </r>
  <r>
    <s v="ab5d825f-1255-404d-86d1-0196684db9e0"/>
    <x v="39"/>
    <x v="1"/>
    <x v="2"/>
    <x v="2"/>
    <x v="2"/>
    <x v="0"/>
    <x v="3"/>
    <x v="8"/>
    <n v="3"/>
    <n v="556.55999999999995"/>
    <n v="1669.68"/>
    <n v="0.15"/>
    <n v="86.07"/>
    <x v="3"/>
  </r>
  <r>
    <s v="dc0b3f76-306c-44ee-aebd-7db2fb678e56"/>
    <x v="107"/>
    <x v="0"/>
    <x v="7"/>
    <x v="5"/>
    <x v="0"/>
    <x v="2"/>
    <x v="1"/>
    <x v="6"/>
    <n v="8"/>
    <n v="437.56"/>
    <n v="3500.48"/>
    <n v="0.15"/>
    <n v="173.04"/>
    <x v="2"/>
  </r>
  <r>
    <s v="ef99b525-54f8-4f0a-ad55-53633415f8b9"/>
    <x v="108"/>
    <x v="2"/>
    <x v="14"/>
    <x v="9"/>
    <x v="3"/>
    <x v="0"/>
    <x v="3"/>
    <x v="8"/>
    <n v="2"/>
    <n v="350.91"/>
    <n v="701.82"/>
    <n v="0.05"/>
    <n v="149.1"/>
    <x v="2"/>
  </r>
  <r>
    <s v="f7ef9502-b8f5-45b9-b040-ff998ddc974f"/>
    <x v="109"/>
    <x v="4"/>
    <x v="21"/>
    <x v="11"/>
    <x v="2"/>
    <x v="1"/>
    <x v="1"/>
    <x v="6"/>
    <n v="7"/>
    <n v="920.57"/>
    <n v="6443.99"/>
    <n v="0.05"/>
    <n v="1246.71"/>
    <x v="2"/>
  </r>
  <r>
    <s v="8d71d41d-0ee9-419d-9d1c-45fb5ac5ee12"/>
    <x v="110"/>
    <x v="0"/>
    <x v="15"/>
    <x v="6"/>
    <x v="1"/>
    <x v="2"/>
    <x v="0"/>
    <x v="0"/>
    <n v="6"/>
    <n v="155.47"/>
    <n v="932.82"/>
    <n v="0"/>
    <n v="132.5"/>
    <x v="1"/>
  </r>
  <r>
    <s v="171a9e3f-1573-4359-ae51-4c0b8aa834ac"/>
    <x v="103"/>
    <x v="1"/>
    <x v="21"/>
    <x v="11"/>
    <x v="2"/>
    <x v="1"/>
    <x v="2"/>
    <x v="5"/>
    <n v="6"/>
    <n v="947.52"/>
    <n v="5685.12"/>
    <n v="0.2"/>
    <n v="345.04"/>
    <x v="3"/>
  </r>
  <r>
    <s v="d5b20cc0-95f1-4896-b6c2-0a51094aa97c"/>
    <x v="111"/>
    <x v="4"/>
    <x v="4"/>
    <x v="3"/>
    <x v="2"/>
    <x v="0"/>
    <x v="0"/>
    <x v="0"/>
    <n v="2"/>
    <n v="400.06"/>
    <n v="800.12"/>
    <n v="0.05"/>
    <n v="74.5"/>
    <x v="3"/>
  </r>
  <r>
    <s v="4533ffea-abc6-48c7-b608-a9d315baa1a8"/>
    <x v="45"/>
    <x v="0"/>
    <x v="22"/>
    <x v="10"/>
    <x v="1"/>
    <x v="2"/>
    <x v="2"/>
    <x v="9"/>
    <n v="3"/>
    <n v="122.36"/>
    <n v="367.08"/>
    <n v="0.15"/>
    <n v="65.59"/>
    <x v="0"/>
  </r>
  <r>
    <s v="518734e7-7a19-4b5a-86bb-62c6bb75c11f"/>
    <x v="112"/>
    <x v="1"/>
    <x v="17"/>
    <x v="7"/>
    <x v="0"/>
    <x v="0"/>
    <x v="3"/>
    <x v="8"/>
    <n v="8"/>
    <n v="446.55"/>
    <n v="3572.4"/>
    <n v="0.15"/>
    <n v="441.17"/>
    <x v="2"/>
  </r>
  <r>
    <s v="d6210474-3bba-4ff1-8ed3-9fee44961f30"/>
    <x v="113"/>
    <x v="0"/>
    <x v="20"/>
    <x v="9"/>
    <x v="3"/>
    <x v="0"/>
    <x v="2"/>
    <x v="9"/>
    <n v="2"/>
    <n v="42.36"/>
    <n v="84.72"/>
    <n v="0.1"/>
    <n v="18.649999999999999"/>
    <x v="3"/>
  </r>
  <r>
    <s v="72acf13e-ab43-4b93-8269-89d1ec222a2c"/>
    <x v="45"/>
    <x v="1"/>
    <x v="17"/>
    <x v="7"/>
    <x v="0"/>
    <x v="2"/>
    <x v="1"/>
    <x v="12"/>
    <n v="2"/>
    <n v="907.39"/>
    <n v="1814.78"/>
    <n v="0.15"/>
    <n v="169.8"/>
    <x v="3"/>
  </r>
  <r>
    <s v="8f9abab9-2263-46e0-9f57-4710352583c2"/>
    <x v="114"/>
    <x v="1"/>
    <x v="5"/>
    <x v="3"/>
    <x v="2"/>
    <x v="0"/>
    <x v="1"/>
    <x v="12"/>
    <n v="9"/>
    <n v="78.38"/>
    <n v="705.42"/>
    <n v="0"/>
    <n v="107.71"/>
    <x v="1"/>
  </r>
  <r>
    <s v="3b470028-c505-422c-8d64-e2b2c90b7cca"/>
    <x v="115"/>
    <x v="1"/>
    <x v="9"/>
    <x v="6"/>
    <x v="1"/>
    <x v="2"/>
    <x v="2"/>
    <x v="5"/>
    <n v="9"/>
    <n v="18.239999999999998"/>
    <n v="164.16"/>
    <n v="0.15"/>
    <n v="11.99"/>
    <x v="1"/>
  </r>
  <r>
    <s v="d25f2af7-36e4-4836-aa42-efc810fd831d"/>
    <x v="116"/>
    <x v="1"/>
    <x v="18"/>
    <x v="10"/>
    <x v="1"/>
    <x v="2"/>
    <x v="1"/>
    <x v="2"/>
    <n v="8"/>
    <n v="624.55999999999995"/>
    <n v="4996.4799999999996"/>
    <n v="0.1"/>
    <n v="531.83000000000004"/>
    <x v="3"/>
  </r>
  <r>
    <s v="9cb55987-2eca-4d8c-9c3a-ac30f3e48c8b"/>
    <x v="117"/>
    <x v="2"/>
    <x v="12"/>
    <x v="5"/>
    <x v="0"/>
    <x v="2"/>
    <x v="1"/>
    <x v="6"/>
    <n v="1"/>
    <n v="396.14"/>
    <n v="396.14"/>
    <n v="0"/>
    <n v="33.409999999999997"/>
    <x v="1"/>
  </r>
  <r>
    <s v="fd41a8ba-2df0-4f61-a489-05ea4fa90127"/>
    <x v="31"/>
    <x v="1"/>
    <x v="19"/>
    <x v="4"/>
    <x v="3"/>
    <x v="0"/>
    <x v="2"/>
    <x v="5"/>
    <n v="7"/>
    <n v="805.03"/>
    <n v="5635.21"/>
    <n v="0"/>
    <n v="422.74"/>
    <x v="0"/>
  </r>
  <r>
    <s v="92d50fe2-35bf-4a6f-8f4b-702fcb3c20bf"/>
    <x v="118"/>
    <x v="2"/>
    <x v="22"/>
    <x v="10"/>
    <x v="1"/>
    <x v="1"/>
    <x v="0"/>
    <x v="10"/>
    <n v="3"/>
    <n v="650.44000000000005"/>
    <n v="1951.32"/>
    <n v="0.15"/>
    <n v="362.27"/>
    <x v="3"/>
  </r>
  <r>
    <s v="172a386f-f926-4378-b811-4b6edba73cb9"/>
    <x v="119"/>
    <x v="0"/>
    <x v="2"/>
    <x v="2"/>
    <x v="2"/>
    <x v="2"/>
    <x v="1"/>
    <x v="6"/>
    <n v="2"/>
    <n v="167.77"/>
    <n v="335.54"/>
    <n v="0.05"/>
    <n v="63.04"/>
    <x v="1"/>
  </r>
  <r>
    <s v="cdb862ea-f9e8-4cbc-ae89-292942248de2"/>
    <x v="120"/>
    <x v="4"/>
    <x v="13"/>
    <x v="8"/>
    <x v="3"/>
    <x v="1"/>
    <x v="2"/>
    <x v="5"/>
    <n v="5"/>
    <n v="570.29"/>
    <n v="2851.45"/>
    <n v="0.15"/>
    <n v="145.87"/>
    <x v="2"/>
  </r>
  <r>
    <s v="ee864381-172d-4c95-bd11-56dc09f9b071"/>
    <x v="121"/>
    <x v="4"/>
    <x v="14"/>
    <x v="9"/>
    <x v="3"/>
    <x v="0"/>
    <x v="0"/>
    <x v="4"/>
    <n v="1"/>
    <n v="488.52"/>
    <n v="488.52"/>
    <n v="0.15"/>
    <n v="63.4"/>
    <x v="0"/>
  </r>
  <r>
    <s v="cf4d94fe-d9ad-469c-bde9-9cb25812646e"/>
    <x v="122"/>
    <x v="0"/>
    <x v="8"/>
    <x v="1"/>
    <x v="1"/>
    <x v="0"/>
    <x v="2"/>
    <x v="9"/>
    <n v="9"/>
    <n v="65.38"/>
    <n v="588.41999999999996"/>
    <n v="0.15"/>
    <n v="113.95"/>
    <x v="0"/>
  </r>
  <r>
    <s v="98ef7c6a-1ae3-486b-a31b-55aab7459847"/>
    <x v="66"/>
    <x v="2"/>
    <x v="3"/>
    <x v="2"/>
    <x v="2"/>
    <x v="1"/>
    <x v="0"/>
    <x v="1"/>
    <n v="4"/>
    <n v="470.3"/>
    <n v="1881.2"/>
    <n v="0.15"/>
    <n v="154.18"/>
    <x v="0"/>
  </r>
  <r>
    <s v="09fbab3d-aa08-47a9-987e-d52a56c390c5"/>
    <x v="123"/>
    <x v="3"/>
    <x v="23"/>
    <x v="11"/>
    <x v="2"/>
    <x v="2"/>
    <x v="1"/>
    <x v="12"/>
    <n v="7"/>
    <n v="833.41"/>
    <n v="5833.87"/>
    <n v="0.1"/>
    <n v="1098.3699999999999"/>
    <x v="3"/>
  </r>
  <r>
    <s v="5da4409f-fd83-49e7-9bc8-c4e6bc00652a"/>
    <x v="124"/>
    <x v="0"/>
    <x v="17"/>
    <x v="7"/>
    <x v="0"/>
    <x v="1"/>
    <x v="1"/>
    <x v="12"/>
    <n v="4"/>
    <n v="158"/>
    <n v="632"/>
    <n v="0.15"/>
    <n v="37.700000000000003"/>
    <x v="2"/>
  </r>
  <r>
    <s v="1257ecef-96f1-496a-a4d1-10ed997205b6"/>
    <x v="125"/>
    <x v="4"/>
    <x v="4"/>
    <x v="3"/>
    <x v="2"/>
    <x v="1"/>
    <x v="2"/>
    <x v="5"/>
    <n v="6"/>
    <n v="881.14"/>
    <n v="5286.84"/>
    <n v="0.1"/>
    <n v="882.09"/>
    <x v="1"/>
  </r>
  <r>
    <s v="8830bf9a-228e-4066-8da8-dac148517d64"/>
    <x v="126"/>
    <x v="0"/>
    <x v="18"/>
    <x v="10"/>
    <x v="1"/>
    <x v="1"/>
    <x v="1"/>
    <x v="12"/>
    <n v="2"/>
    <n v="562.86"/>
    <n v="1125.72"/>
    <n v="0.15"/>
    <n v="97.18"/>
    <x v="2"/>
  </r>
  <r>
    <s v="9c2911d1-c633-490d-b407-ed2dacb5af33"/>
    <x v="127"/>
    <x v="3"/>
    <x v="1"/>
    <x v="1"/>
    <x v="1"/>
    <x v="0"/>
    <x v="3"/>
    <x v="7"/>
    <n v="1"/>
    <n v="926.78"/>
    <n v="926.78"/>
    <n v="0.15"/>
    <n v="165.27"/>
    <x v="1"/>
  </r>
  <r>
    <s v="af9dba48-44d0-4af8-8875-db970b19844b"/>
    <x v="87"/>
    <x v="4"/>
    <x v="8"/>
    <x v="1"/>
    <x v="1"/>
    <x v="1"/>
    <x v="0"/>
    <x v="4"/>
    <n v="2"/>
    <n v="871.13"/>
    <n v="1742.26"/>
    <n v="0.1"/>
    <n v="127.65"/>
    <x v="2"/>
  </r>
  <r>
    <s v="ddaa721b-d312-40ef-b991-4227bddbae56"/>
    <x v="71"/>
    <x v="2"/>
    <x v="19"/>
    <x v="4"/>
    <x v="3"/>
    <x v="1"/>
    <x v="3"/>
    <x v="8"/>
    <n v="6"/>
    <n v="819.52"/>
    <n v="4917.12"/>
    <n v="0"/>
    <n v="1080.3800000000001"/>
    <x v="0"/>
  </r>
  <r>
    <s v="781857e3-acde-4420-96cc-ef641b781669"/>
    <x v="128"/>
    <x v="1"/>
    <x v="18"/>
    <x v="10"/>
    <x v="1"/>
    <x v="2"/>
    <x v="2"/>
    <x v="5"/>
    <n v="2"/>
    <n v="267.48"/>
    <n v="534.96"/>
    <n v="0.15"/>
    <n v="55.53"/>
    <x v="2"/>
  </r>
  <r>
    <s v="a5a1b47c-b3e1-4234-bc4b-0dcaba3fec5a"/>
    <x v="129"/>
    <x v="0"/>
    <x v="16"/>
    <x v="8"/>
    <x v="3"/>
    <x v="2"/>
    <x v="1"/>
    <x v="6"/>
    <n v="8"/>
    <n v="951.94"/>
    <n v="7615.52"/>
    <n v="0.2"/>
    <n v="1272.8399999999999"/>
    <x v="3"/>
  </r>
  <r>
    <s v="30125d10-8449-45cf-a8dd-bee4c70aed26"/>
    <x v="63"/>
    <x v="4"/>
    <x v="16"/>
    <x v="8"/>
    <x v="3"/>
    <x v="1"/>
    <x v="3"/>
    <x v="11"/>
    <n v="6"/>
    <n v="316.17"/>
    <n v="1897.02"/>
    <n v="0.05"/>
    <n v="246.56"/>
    <x v="1"/>
  </r>
  <r>
    <s v="79e20a3d-8bb9-45e9-9eb3-c5239f5bccd7"/>
    <x v="130"/>
    <x v="4"/>
    <x v="10"/>
    <x v="0"/>
    <x v="0"/>
    <x v="2"/>
    <x v="2"/>
    <x v="9"/>
    <n v="7"/>
    <n v="886.01"/>
    <n v="6202.07"/>
    <n v="0.2"/>
    <n v="1114.93"/>
    <x v="3"/>
  </r>
  <r>
    <s v="ffe36f64-3243-4e54-a8c6-e4236fa00be4"/>
    <x v="131"/>
    <x v="0"/>
    <x v="15"/>
    <x v="6"/>
    <x v="1"/>
    <x v="2"/>
    <x v="3"/>
    <x v="7"/>
    <n v="9"/>
    <n v="625.11"/>
    <n v="5625.99"/>
    <n v="0.2"/>
    <n v="811.98"/>
    <x v="2"/>
  </r>
  <r>
    <s v="e170d051-956c-4d62-8422-d92130bbfb3d"/>
    <x v="64"/>
    <x v="2"/>
    <x v="13"/>
    <x v="8"/>
    <x v="3"/>
    <x v="1"/>
    <x v="3"/>
    <x v="8"/>
    <n v="7"/>
    <n v="725.65"/>
    <n v="5079.55"/>
    <n v="0.05"/>
    <n v="743.59"/>
    <x v="0"/>
  </r>
  <r>
    <s v="06185a0c-91da-4de0-8e88-4145615b8ba4"/>
    <x v="69"/>
    <x v="4"/>
    <x v="1"/>
    <x v="1"/>
    <x v="1"/>
    <x v="2"/>
    <x v="3"/>
    <x v="11"/>
    <n v="1"/>
    <n v="29.84"/>
    <n v="29.84"/>
    <n v="0.2"/>
    <n v="4.0199999999999996"/>
    <x v="2"/>
  </r>
  <r>
    <s v="b5384041-24af-4fae-bc5b-3db8f67875fe"/>
    <x v="83"/>
    <x v="2"/>
    <x v="6"/>
    <x v="4"/>
    <x v="3"/>
    <x v="2"/>
    <x v="1"/>
    <x v="2"/>
    <n v="9"/>
    <n v="355.76"/>
    <n v="3201.84"/>
    <n v="0"/>
    <n v="644.57000000000005"/>
    <x v="0"/>
  </r>
  <r>
    <s v="b594ae58-8b24-4096-b64f-d57e49789702"/>
    <x v="56"/>
    <x v="0"/>
    <x v="21"/>
    <x v="11"/>
    <x v="2"/>
    <x v="2"/>
    <x v="0"/>
    <x v="1"/>
    <n v="10"/>
    <n v="566.47"/>
    <n v="5664.7"/>
    <n v="0.2"/>
    <n v="992"/>
    <x v="2"/>
  </r>
  <r>
    <s v="258168d4-8cc2-4ce2-9f90-16b1eeee1a53"/>
    <x v="132"/>
    <x v="0"/>
    <x v="2"/>
    <x v="2"/>
    <x v="2"/>
    <x v="0"/>
    <x v="1"/>
    <x v="2"/>
    <n v="2"/>
    <n v="329.19"/>
    <n v="658.38"/>
    <n v="0.2"/>
    <n v="46.62"/>
    <x v="2"/>
  </r>
  <r>
    <s v="62a85dfe-a40a-4c6b-89a4-487081d10848"/>
    <x v="57"/>
    <x v="0"/>
    <x v="18"/>
    <x v="10"/>
    <x v="1"/>
    <x v="1"/>
    <x v="3"/>
    <x v="7"/>
    <n v="1"/>
    <n v="426.04"/>
    <n v="426.04"/>
    <n v="0.05"/>
    <n v="58.79"/>
    <x v="1"/>
  </r>
  <r>
    <s v="21581b06-4da9-47f0-9448-f26181f1685c"/>
    <x v="133"/>
    <x v="4"/>
    <x v="23"/>
    <x v="11"/>
    <x v="2"/>
    <x v="0"/>
    <x v="2"/>
    <x v="9"/>
    <n v="5"/>
    <n v="585.14"/>
    <n v="2925.7"/>
    <n v="0.15"/>
    <n v="619.98"/>
    <x v="3"/>
  </r>
  <r>
    <s v="e3051337-f555-4fc7-9391-5ff26b80b1a6"/>
    <x v="134"/>
    <x v="4"/>
    <x v="16"/>
    <x v="8"/>
    <x v="3"/>
    <x v="1"/>
    <x v="2"/>
    <x v="3"/>
    <n v="8"/>
    <n v="131.13"/>
    <n v="1049.04"/>
    <n v="0.2"/>
    <n v="186.86"/>
    <x v="3"/>
  </r>
  <r>
    <s v="7b923c97-47c2-462d-99bc-20751240574e"/>
    <x v="116"/>
    <x v="3"/>
    <x v="20"/>
    <x v="9"/>
    <x v="3"/>
    <x v="0"/>
    <x v="0"/>
    <x v="10"/>
    <n v="2"/>
    <n v="602.4"/>
    <n v="1204.8"/>
    <n v="0.15"/>
    <n v="73.8"/>
    <x v="0"/>
  </r>
  <r>
    <s v="423c9b71-5b80-4db4-a594-6c93deb4aaec"/>
    <x v="124"/>
    <x v="2"/>
    <x v="4"/>
    <x v="3"/>
    <x v="2"/>
    <x v="2"/>
    <x v="3"/>
    <x v="8"/>
    <n v="6"/>
    <n v="304.64999999999998"/>
    <n v="1827.9"/>
    <n v="0.15"/>
    <n v="86.38"/>
    <x v="0"/>
  </r>
  <r>
    <s v="5da6d496-0fde-4fb7-a480-ebe8d4ae55bf"/>
    <x v="34"/>
    <x v="1"/>
    <x v="13"/>
    <x v="8"/>
    <x v="3"/>
    <x v="1"/>
    <x v="1"/>
    <x v="6"/>
    <n v="8"/>
    <n v="4.08"/>
    <n v="32.64"/>
    <n v="0.2"/>
    <n v="3.13"/>
    <x v="2"/>
  </r>
  <r>
    <s v="1b344f26-3795-4e88-a44f-d29bafab54c3"/>
    <x v="112"/>
    <x v="4"/>
    <x v="19"/>
    <x v="4"/>
    <x v="3"/>
    <x v="2"/>
    <x v="0"/>
    <x v="1"/>
    <n v="7"/>
    <n v="476.28"/>
    <n v="3333.96"/>
    <n v="0.2"/>
    <n v="204.2"/>
    <x v="0"/>
  </r>
  <r>
    <s v="60c2b78b-a351-4179-9598-b4dae1a25f63"/>
    <x v="96"/>
    <x v="3"/>
    <x v="14"/>
    <x v="9"/>
    <x v="3"/>
    <x v="0"/>
    <x v="1"/>
    <x v="12"/>
    <n v="2"/>
    <n v="800.21"/>
    <n v="1600.42"/>
    <n v="0.2"/>
    <n v="168.91"/>
    <x v="0"/>
  </r>
  <r>
    <s v="386700b1-b14b-47b5-a192-6f5cf5f235d2"/>
    <x v="11"/>
    <x v="0"/>
    <x v="21"/>
    <x v="11"/>
    <x v="2"/>
    <x v="0"/>
    <x v="1"/>
    <x v="2"/>
    <n v="2"/>
    <n v="866.22"/>
    <n v="1732.44"/>
    <n v="0"/>
    <n v="284.81"/>
    <x v="0"/>
  </r>
  <r>
    <s v="e84e0b8b-b883-4543-97fc-b141e5ee5f40"/>
    <x v="135"/>
    <x v="3"/>
    <x v="8"/>
    <x v="1"/>
    <x v="1"/>
    <x v="0"/>
    <x v="3"/>
    <x v="8"/>
    <n v="10"/>
    <n v="522.71"/>
    <n v="5227.1000000000004"/>
    <n v="0.15"/>
    <n v="668.8"/>
    <x v="1"/>
  </r>
  <r>
    <s v="78e5aa17-7426-40fd-a286-90f8ca919d9b"/>
    <x v="136"/>
    <x v="3"/>
    <x v="12"/>
    <x v="5"/>
    <x v="0"/>
    <x v="1"/>
    <x v="0"/>
    <x v="4"/>
    <n v="2"/>
    <n v="807.31"/>
    <n v="1614.62"/>
    <n v="0.2"/>
    <n v="147.36000000000001"/>
    <x v="3"/>
  </r>
  <r>
    <s v="d9e1790b-056e-4e47-a794-1eb87c5baeaa"/>
    <x v="137"/>
    <x v="3"/>
    <x v="9"/>
    <x v="6"/>
    <x v="1"/>
    <x v="2"/>
    <x v="0"/>
    <x v="1"/>
    <n v="9"/>
    <n v="318.75"/>
    <n v="2868.75"/>
    <n v="0.1"/>
    <n v="176.1"/>
    <x v="1"/>
  </r>
  <r>
    <s v="86adde82-3450-468a-a689-594b3a779a44"/>
    <x v="106"/>
    <x v="1"/>
    <x v="4"/>
    <x v="3"/>
    <x v="2"/>
    <x v="1"/>
    <x v="0"/>
    <x v="10"/>
    <n v="5"/>
    <n v="952.26"/>
    <n v="4761.3"/>
    <n v="0.05"/>
    <n v="279.45999999999998"/>
    <x v="2"/>
  </r>
  <r>
    <s v="f0f287d3-0f1e-4bd4-8423-570c0f6612da"/>
    <x v="18"/>
    <x v="1"/>
    <x v="8"/>
    <x v="1"/>
    <x v="1"/>
    <x v="2"/>
    <x v="3"/>
    <x v="11"/>
    <n v="6"/>
    <n v="144.18"/>
    <n v="865.08"/>
    <n v="0.1"/>
    <n v="79.09"/>
    <x v="1"/>
  </r>
  <r>
    <s v="4065081e-7cb5-463b-9f1e-1743e712797f"/>
    <x v="138"/>
    <x v="0"/>
    <x v="7"/>
    <x v="5"/>
    <x v="0"/>
    <x v="0"/>
    <x v="0"/>
    <x v="4"/>
    <n v="2"/>
    <n v="270.75"/>
    <n v="541.5"/>
    <n v="0.1"/>
    <n v="69.67"/>
    <x v="3"/>
  </r>
  <r>
    <s v="7a790c84-c77f-49e2-8401-9ae307a47807"/>
    <x v="17"/>
    <x v="3"/>
    <x v="13"/>
    <x v="8"/>
    <x v="3"/>
    <x v="1"/>
    <x v="2"/>
    <x v="9"/>
    <n v="9"/>
    <n v="963.55"/>
    <n v="8671.9500000000007"/>
    <n v="0"/>
    <n v="860.81"/>
    <x v="0"/>
  </r>
  <r>
    <s v="dcc72c08-8b2c-447f-a91a-2a411245abe3"/>
    <x v="139"/>
    <x v="4"/>
    <x v="20"/>
    <x v="9"/>
    <x v="3"/>
    <x v="1"/>
    <x v="1"/>
    <x v="2"/>
    <n v="6"/>
    <n v="541.36"/>
    <n v="3248.16"/>
    <n v="0.05"/>
    <n v="636.91"/>
    <x v="2"/>
  </r>
  <r>
    <s v="a4c138d1-fc41-4850-aa41-2e959541a592"/>
    <x v="10"/>
    <x v="0"/>
    <x v="16"/>
    <x v="8"/>
    <x v="3"/>
    <x v="0"/>
    <x v="2"/>
    <x v="3"/>
    <n v="3"/>
    <n v="2.54"/>
    <n v="7.62"/>
    <n v="0.15"/>
    <n v="0.68"/>
    <x v="0"/>
  </r>
  <r>
    <s v="e0794470-53bc-463e-8c1e-bff41f267853"/>
    <x v="140"/>
    <x v="4"/>
    <x v="20"/>
    <x v="9"/>
    <x v="3"/>
    <x v="0"/>
    <x v="3"/>
    <x v="8"/>
    <n v="1"/>
    <n v="163.09"/>
    <n v="163.09"/>
    <n v="0.2"/>
    <n v="21.22"/>
    <x v="0"/>
  </r>
  <r>
    <s v="c0d0f78a-2b6e-48f2-8e0f-e06d2582b709"/>
    <x v="60"/>
    <x v="3"/>
    <x v="6"/>
    <x v="4"/>
    <x v="3"/>
    <x v="0"/>
    <x v="3"/>
    <x v="11"/>
    <n v="7"/>
    <n v="212.43"/>
    <n v="1487.01"/>
    <n v="0.2"/>
    <n v="287.27"/>
    <x v="0"/>
  </r>
  <r>
    <s v="3136432f-913b-4bfe-a472-46dda0be7ec3"/>
    <x v="83"/>
    <x v="0"/>
    <x v="23"/>
    <x v="11"/>
    <x v="2"/>
    <x v="2"/>
    <x v="3"/>
    <x v="8"/>
    <n v="6"/>
    <n v="342.95"/>
    <n v="2057.6999999999998"/>
    <n v="0.15"/>
    <n v="422.92"/>
    <x v="2"/>
  </r>
  <r>
    <s v="d92a8342-947e-483d-8978-a2206e6b8187"/>
    <x v="141"/>
    <x v="4"/>
    <x v="10"/>
    <x v="0"/>
    <x v="0"/>
    <x v="2"/>
    <x v="3"/>
    <x v="11"/>
    <n v="1"/>
    <n v="673.36"/>
    <n v="673.36"/>
    <n v="0.15"/>
    <n v="92.24"/>
    <x v="1"/>
  </r>
  <r>
    <s v="2e858b56-a1dc-463a-84f7-3e98dcc64321"/>
    <x v="27"/>
    <x v="4"/>
    <x v="8"/>
    <x v="1"/>
    <x v="1"/>
    <x v="1"/>
    <x v="2"/>
    <x v="5"/>
    <n v="2"/>
    <n v="354.29"/>
    <n v="708.58"/>
    <n v="0.15"/>
    <n v="129.79"/>
    <x v="3"/>
  </r>
  <r>
    <s v="78657165-9ce6-48c8-aaa8-5a402172bc10"/>
    <x v="49"/>
    <x v="2"/>
    <x v="10"/>
    <x v="0"/>
    <x v="0"/>
    <x v="2"/>
    <x v="3"/>
    <x v="7"/>
    <n v="4"/>
    <n v="445.69"/>
    <n v="1782.76"/>
    <n v="0.05"/>
    <n v="336.4"/>
    <x v="0"/>
  </r>
  <r>
    <s v="0a90801b-6771-4dad-b830-d71ee247cf40"/>
    <x v="51"/>
    <x v="4"/>
    <x v="4"/>
    <x v="3"/>
    <x v="2"/>
    <x v="0"/>
    <x v="3"/>
    <x v="8"/>
    <n v="4"/>
    <n v="235.79"/>
    <n v="943.16"/>
    <n v="0.15"/>
    <n v="195.18"/>
    <x v="0"/>
  </r>
  <r>
    <s v="6395e8ab-bc86-4320-8e08-fd1d349b6b05"/>
    <x v="142"/>
    <x v="2"/>
    <x v="6"/>
    <x v="4"/>
    <x v="3"/>
    <x v="1"/>
    <x v="0"/>
    <x v="0"/>
    <n v="2"/>
    <n v="870.18"/>
    <n v="1740.36"/>
    <n v="0.2"/>
    <n v="208.93"/>
    <x v="3"/>
  </r>
  <r>
    <s v="928e843e-fe04-4da1-aa0b-8691bef142c4"/>
    <x v="85"/>
    <x v="2"/>
    <x v="10"/>
    <x v="0"/>
    <x v="0"/>
    <x v="0"/>
    <x v="1"/>
    <x v="12"/>
    <n v="2"/>
    <n v="129.18"/>
    <n v="258.36"/>
    <n v="0.2"/>
    <n v="45.7"/>
    <x v="2"/>
  </r>
  <r>
    <s v="eeb64807-48e0-44b6-beb8-5c1d74805af5"/>
    <x v="137"/>
    <x v="4"/>
    <x v="1"/>
    <x v="1"/>
    <x v="1"/>
    <x v="2"/>
    <x v="3"/>
    <x v="11"/>
    <n v="7"/>
    <n v="641.67999999999995"/>
    <n v="4491.76"/>
    <n v="0"/>
    <n v="991.65"/>
    <x v="1"/>
  </r>
  <r>
    <s v="0aed73be-2e85-49b2-8068-b5f0e69cc4dc"/>
    <x v="143"/>
    <x v="4"/>
    <x v="20"/>
    <x v="9"/>
    <x v="3"/>
    <x v="2"/>
    <x v="3"/>
    <x v="7"/>
    <n v="6"/>
    <n v="518.22"/>
    <n v="3109.32"/>
    <n v="0"/>
    <n v="705.07"/>
    <x v="3"/>
  </r>
  <r>
    <s v="b61b516e-b3e8-48b2-a501-aa5da93718f3"/>
    <x v="46"/>
    <x v="1"/>
    <x v="3"/>
    <x v="2"/>
    <x v="2"/>
    <x v="1"/>
    <x v="1"/>
    <x v="6"/>
    <n v="4"/>
    <n v="336.04"/>
    <n v="1344.16"/>
    <n v="0.2"/>
    <n v="227.47"/>
    <x v="3"/>
  </r>
  <r>
    <s v="0ac30b1e-cfc6-4c0c-94bc-e7ddc5e735e1"/>
    <x v="144"/>
    <x v="3"/>
    <x v="16"/>
    <x v="8"/>
    <x v="3"/>
    <x v="1"/>
    <x v="1"/>
    <x v="12"/>
    <n v="5"/>
    <n v="64.72"/>
    <n v="323.60000000000002"/>
    <n v="0"/>
    <n v="17.98"/>
    <x v="0"/>
  </r>
  <r>
    <s v="e77e10c0-56f0-47e7-a13a-910ca7432587"/>
    <x v="6"/>
    <x v="2"/>
    <x v="2"/>
    <x v="2"/>
    <x v="2"/>
    <x v="2"/>
    <x v="2"/>
    <x v="9"/>
    <n v="6"/>
    <n v="832.85"/>
    <n v="4997.1000000000004"/>
    <n v="0.1"/>
    <n v="692.31"/>
    <x v="2"/>
  </r>
  <r>
    <s v="3ad0091f-847f-4328-bc70-c648e104cdf4"/>
    <x v="145"/>
    <x v="4"/>
    <x v="13"/>
    <x v="8"/>
    <x v="3"/>
    <x v="1"/>
    <x v="1"/>
    <x v="6"/>
    <n v="1"/>
    <n v="916.88"/>
    <n v="916.88"/>
    <n v="0.15"/>
    <n v="87.8"/>
    <x v="1"/>
  </r>
  <r>
    <s v="afe3515d-897a-4a69-8086-18044fc1cc81"/>
    <x v="33"/>
    <x v="1"/>
    <x v="15"/>
    <x v="6"/>
    <x v="1"/>
    <x v="0"/>
    <x v="0"/>
    <x v="10"/>
    <n v="2"/>
    <n v="103.62"/>
    <n v="207.24"/>
    <n v="0"/>
    <n v="33.54"/>
    <x v="3"/>
  </r>
  <r>
    <s v="d4e02d28-e6ce-4435-8d4a-794a6d1de03b"/>
    <x v="73"/>
    <x v="3"/>
    <x v="13"/>
    <x v="8"/>
    <x v="3"/>
    <x v="0"/>
    <x v="3"/>
    <x v="7"/>
    <n v="8"/>
    <n v="385.15"/>
    <n v="3081.2"/>
    <n v="0.15"/>
    <n v="591.87"/>
    <x v="1"/>
  </r>
  <r>
    <s v="d3891629-5834-4efb-b806-2ec6c25e4a98"/>
    <x v="146"/>
    <x v="4"/>
    <x v="9"/>
    <x v="6"/>
    <x v="1"/>
    <x v="1"/>
    <x v="0"/>
    <x v="0"/>
    <n v="2"/>
    <n v="14.26"/>
    <n v="28.52"/>
    <n v="0"/>
    <n v="4.8099999999999996"/>
    <x v="1"/>
  </r>
  <r>
    <s v="5920f956-46a4-4d13-9362-dc53fd9c75c2"/>
    <x v="147"/>
    <x v="1"/>
    <x v="0"/>
    <x v="0"/>
    <x v="0"/>
    <x v="2"/>
    <x v="1"/>
    <x v="12"/>
    <n v="10"/>
    <n v="445.74"/>
    <n v="4457.3999999999996"/>
    <n v="0.05"/>
    <n v="328.32"/>
    <x v="3"/>
  </r>
  <r>
    <s v="d744ec14-5d2a-4133-9cfb-0b820c93d18c"/>
    <x v="148"/>
    <x v="4"/>
    <x v="11"/>
    <x v="7"/>
    <x v="0"/>
    <x v="0"/>
    <x v="0"/>
    <x v="4"/>
    <n v="5"/>
    <n v="584.5"/>
    <n v="2922.5"/>
    <n v="0.2"/>
    <n v="479.52"/>
    <x v="0"/>
  </r>
  <r>
    <s v="f21b36c6-0f9b-4813-81cc-42bda6c3d0e2"/>
    <x v="57"/>
    <x v="1"/>
    <x v="23"/>
    <x v="11"/>
    <x v="2"/>
    <x v="2"/>
    <x v="1"/>
    <x v="2"/>
    <n v="9"/>
    <n v="587.27"/>
    <n v="5285.43"/>
    <n v="0.05"/>
    <n v="308.62"/>
    <x v="1"/>
  </r>
  <r>
    <s v="4a249172-f5ad-4bb9-b080-050ad380e83d"/>
    <x v="149"/>
    <x v="3"/>
    <x v="4"/>
    <x v="3"/>
    <x v="2"/>
    <x v="1"/>
    <x v="0"/>
    <x v="1"/>
    <n v="4"/>
    <n v="668.52"/>
    <n v="2674.08"/>
    <n v="0.15"/>
    <n v="386.3"/>
    <x v="0"/>
  </r>
  <r>
    <s v="1ab6e19b-fae3-4458-9d95-b8b23fbefe08"/>
    <x v="150"/>
    <x v="0"/>
    <x v="23"/>
    <x v="11"/>
    <x v="2"/>
    <x v="2"/>
    <x v="3"/>
    <x v="8"/>
    <n v="2"/>
    <n v="455.39"/>
    <n v="910.78"/>
    <n v="0"/>
    <n v="135.88"/>
    <x v="2"/>
  </r>
  <r>
    <s v="6be6139b-a351-4676-97e9-16c705652f64"/>
    <x v="124"/>
    <x v="3"/>
    <x v="17"/>
    <x v="7"/>
    <x v="0"/>
    <x v="2"/>
    <x v="0"/>
    <x v="10"/>
    <n v="7"/>
    <n v="206.91"/>
    <n v="1448.37"/>
    <n v="0.05"/>
    <n v="296.13"/>
    <x v="0"/>
  </r>
  <r>
    <s v="2c17d46f-ee9f-4714-a3bd-c5648c19e6e6"/>
    <x v="151"/>
    <x v="2"/>
    <x v="18"/>
    <x v="10"/>
    <x v="1"/>
    <x v="0"/>
    <x v="0"/>
    <x v="0"/>
    <n v="3"/>
    <n v="292"/>
    <n v="876"/>
    <n v="0.05"/>
    <n v="146.69"/>
    <x v="1"/>
  </r>
  <r>
    <s v="12d614f2-d810-420c-b221-d291376bd2b5"/>
    <x v="72"/>
    <x v="1"/>
    <x v="22"/>
    <x v="10"/>
    <x v="1"/>
    <x v="1"/>
    <x v="3"/>
    <x v="11"/>
    <n v="5"/>
    <n v="719.4"/>
    <n v="3597"/>
    <n v="0.1"/>
    <n v="710.61"/>
    <x v="2"/>
  </r>
  <r>
    <s v="1d8c4383-ee25-420b-887b-fcb8eabc6057"/>
    <x v="152"/>
    <x v="1"/>
    <x v="7"/>
    <x v="5"/>
    <x v="0"/>
    <x v="1"/>
    <x v="1"/>
    <x v="6"/>
    <n v="3"/>
    <n v="380.16"/>
    <n v="1140.48"/>
    <n v="0"/>
    <n v="134.21"/>
    <x v="1"/>
  </r>
  <r>
    <s v="d26c0853-c3c3-45ba-abcd-eed3b061ed59"/>
    <x v="39"/>
    <x v="1"/>
    <x v="13"/>
    <x v="8"/>
    <x v="3"/>
    <x v="0"/>
    <x v="1"/>
    <x v="2"/>
    <n v="9"/>
    <n v="977.15"/>
    <n v="8794.35"/>
    <n v="0.2"/>
    <n v="1592.36"/>
    <x v="2"/>
  </r>
  <r>
    <s v="b115790e-65a6-4e94-8af6-33088cf35acb"/>
    <x v="28"/>
    <x v="3"/>
    <x v="7"/>
    <x v="5"/>
    <x v="0"/>
    <x v="0"/>
    <x v="0"/>
    <x v="4"/>
    <n v="6"/>
    <n v="319.32"/>
    <n v="1915.92"/>
    <n v="0.15"/>
    <n v="399.64"/>
    <x v="3"/>
  </r>
  <r>
    <s v="47c4afc1-fb74-4ce7-80bd-fba99a0c16af"/>
    <x v="153"/>
    <x v="3"/>
    <x v="0"/>
    <x v="0"/>
    <x v="0"/>
    <x v="2"/>
    <x v="1"/>
    <x v="6"/>
    <n v="1"/>
    <n v="630.20000000000005"/>
    <n v="630.20000000000005"/>
    <n v="0.1"/>
    <n v="127.37"/>
    <x v="2"/>
  </r>
  <r>
    <s v="d7b41c4a-397f-4d8f-be10-ab3ada329a0d"/>
    <x v="154"/>
    <x v="3"/>
    <x v="15"/>
    <x v="6"/>
    <x v="1"/>
    <x v="0"/>
    <x v="2"/>
    <x v="9"/>
    <n v="9"/>
    <n v="375.52"/>
    <n v="3379.68"/>
    <n v="0.2"/>
    <n v="386.24"/>
    <x v="3"/>
  </r>
  <r>
    <s v="b2f7c7a9-6316-4ae8-8b8d-b4ba4f99039f"/>
    <x v="88"/>
    <x v="0"/>
    <x v="23"/>
    <x v="11"/>
    <x v="2"/>
    <x v="2"/>
    <x v="3"/>
    <x v="8"/>
    <n v="10"/>
    <n v="402.14"/>
    <n v="4021.4"/>
    <n v="0.2"/>
    <n v="578.91"/>
    <x v="0"/>
  </r>
  <r>
    <s v="fa4cdd75-fcfd-4068-a3b4-d5d76c63c99c"/>
    <x v="155"/>
    <x v="0"/>
    <x v="17"/>
    <x v="7"/>
    <x v="0"/>
    <x v="1"/>
    <x v="1"/>
    <x v="6"/>
    <n v="7"/>
    <n v="888.93"/>
    <n v="6222.51"/>
    <n v="0.2"/>
    <n v="405.42"/>
    <x v="0"/>
  </r>
  <r>
    <s v="284c7e98-791b-4650-9278-2dfc0f7a0e65"/>
    <x v="156"/>
    <x v="1"/>
    <x v="22"/>
    <x v="10"/>
    <x v="1"/>
    <x v="2"/>
    <x v="3"/>
    <x v="7"/>
    <n v="4"/>
    <n v="584.79"/>
    <n v="2339.16"/>
    <n v="0.15"/>
    <n v="303.12"/>
    <x v="0"/>
  </r>
  <r>
    <s v="ecac20ca-e16f-40fc-b341-4cdff5267048"/>
    <x v="157"/>
    <x v="0"/>
    <x v="14"/>
    <x v="9"/>
    <x v="3"/>
    <x v="2"/>
    <x v="3"/>
    <x v="7"/>
    <n v="6"/>
    <n v="274.47000000000003"/>
    <n v="1646.82"/>
    <n v="0"/>
    <n v="141.47999999999999"/>
    <x v="3"/>
  </r>
  <r>
    <s v="fb4950ad-bf21-45d3-a63c-a1535e9d6878"/>
    <x v="70"/>
    <x v="1"/>
    <x v="15"/>
    <x v="6"/>
    <x v="1"/>
    <x v="0"/>
    <x v="1"/>
    <x v="2"/>
    <n v="5"/>
    <n v="926.75"/>
    <n v="4633.75"/>
    <n v="0"/>
    <n v="341.59"/>
    <x v="1"/>
  </r>
  <r>
    <s v="cd40953d-8b09-4ed4-a43a-89a6f766b1c4"/>
    <x v="158"/>
    <x v="1"/>
    <x v="17"/>
    <x v="7"/>
    <x v="0"/>
    <x v="2"/>
    <x v="3"/>
    <x v="11"/>
    <n v="5"/>
    <n v="192.26"/>
    <n v="961.3"/>
    <n v="0.2"/>
    <n v="191.95"/>
    <x v="0"/>
  </r>
  <r>
    <s v="3d4ff3b8-ad28-47f3-8634-7351b20f0320"/>
    <x v="76"/>
    <x v="0"/>
    <x v="3"/>
    <x v="2"/>
    <x v="2"/>
    <x v="2"/>
    <x v="3"/>
    <x v="11"/>
    <n v="8"/>
    <n v="654.78"/>
    <n v="5238.24"/>
    <n v="0.05"/>
    <n v="1110.19"/>
    <x v="1"/>
  </r>
  <r>
    <s v="6b5985c2-2ac5-45e2-a27b-2237367a9d60"/>
    <x v="159"/>
    <x v="4"/>
    <x v="17"/>
    <x v="7"/>
    <x v="0"/>
    <x v="0"/>
    <x v="1"/>
    <x v="6"/>
    <n v="8"/>
    <n v="341.98"/>
    <n v="2735.84"/>
    <n v="0"/>
    <n v="308.10000000000002"/>
    <x v="3"/>
  </r>
  <r>
    <s v="a1653041-2aa2-479a-8d86-22f2923b9c95"/>
    <x v="160"/>
    <x v="0"/>
    <x v="13"/>
    <x v="8"/>
    <x v="3"/>
    <x v="0"/>
    <x v="1"/>
    <x v="2"/>
    <n v="6"/>
    <n v="140.66999999999999"/>
    <n v="844.02"/>
    <n v="0.05"/>
    <n v="89.09"/>
    <x v="1"/>
  </r>
  <r>
    <s v="86ef9fa5-068d-4c70-830e-f140d8b44a93"/>
    <x v="161"/>
    <x v="0"/>
    <x v="2"/>
    <x v="2"/>
    <x v="2"/>
    <x v="2"/>
    <x v="0"/>
    <x v="1"/>
    <n v="9"/>
    <n v="301.04000000000002"/>
    <n v="2709.36"/>
    <n v="0.2"/>
    <n v="118.45"/>
    <x v="3"/>
  </r>
  <r>
    <s v="1e07d712-00c5-40f2-b384-ebe0becd71dd"/>
    <x v="162"/>
    <x v="0"/>
    <x v="11"/>
    <x v="7"/>
    <x v="0"/>
    <x v="1"/>
    <x v="0"/>
    <x v="10"/>
    <n v="2"/>
    <n v="535.41999999999996"/>
    <n v="1070.8399999999999"/>
    <n v="0.05"/>
    <n v="147.46"/>
    <x v="3"/>
  </r>
  <r>
    <s v="d346a7a2-f9ff-4531-a0ef-e4353c9698e4"/>
    <x v="102"/>
    <x v="2"/>
    <x v="19"/>
    <x v="4"/>
    <x v="3"/>
    <x v="1"/>
    <x v="3"/>
    <x v="8"/>
    <n v="9"/>
    <n v="179.28"/>
    <n v="1613.52"/>
    <n v="0.2"/>
    <n v="190.68"/>
    <x v="1"/>
  </r>
  <r>
    <s v="24e61366-25d3-4a0e-828c-6323c93ac48f"/>
    <x v="163"/>
    <x v="3"/>
    <x v="9"/>
    <x v="6"/>
    <x v="1"/>
    <x v="1"/>
    <x v="1"/>
    <x v="6"/>
    <n v="9"/>
    <n v="71.84"/>
    <n v="646.55999999999995"/>
    <n v="0"/>
    <n v="80"/>
    <x v="0"/>
  </r>
  <r>
    <s v="d17a5a52-898a-459a-b253-dd88ec7d356c"/>
    <x v="164"/>
    <x v="3"/>
    <x v="3"/>
    <x v="2"/>
    <x v="2"/>
    <x v="1"/>
    <x v="0"/>
    <x v="10"/>
    <n v="9"/>
    <n v="419.58"/>
    <n v="3776.22"/>
    <n v="0"/>
    <n v="482.6"/>
    <x v="2"/>
  </r>
  <r>
    <s v="568efd5d-bd21-4642-8c6c-9245f4dae377"/>
    <x v="93"/>
    <x v="0"/>
    <x v="11"/>
    <x v="7"/>
    <x v="0"/>
    <x v="1"/>
    <x v="1"/>
    <x v="6"/>
    <n v="10"/>
    <n v="204.57"/>
    <n v="2045.7"/>
    <n v="0.15"/>
    <n v="182.73"/>
    <x v="0"/>
  </r>
  <r>
    <s v="0008309c-4fb8-4add-b5d5-25591327b5f9"/>
    <x v="165"/>
    <x v="4"/>
    <x v="13"/>
    <x v="8"/>
    <x v="3"/>
    <x v="1"/>
    <x v="0"/>
    <x v="10"/>
    <n v="10"/>
    <n v="879.48"/>
    <n v="8794.7999999999993"/>
    <n v="0.15"/>
    <n v="1065.56"/>
    <x v="0"/>
  </r>
  <r>
    <s v="825f67f7-87c2-4842-88b5-45d6b20d4af2"/>
    <x v="166"/>
    <x v="1"/>
    <x v="23"/>
    <x v="11"/>
    <x v="2"/>
    <x v="0"/>
    <x v="0"/>
    <x v="4"/>
    <n v="7"/>
    <n v="613.79999999999995"/>
    <n v="4296.6000000000004"/>
    <n v="0.05"/>
    <n v="542.91999999999996"/>
    <x v="0"/>
  </r>
  <r>
    <s v="188aad0e-72ad-4510-9930-b549114549d2"/>
    <x v="167"/>
    <x v="3"/>
    <x v="14"/>
    <x v="9"/>
    <x v="3"/>
    <x v="0"/>
    <x v="1"/>
    <x v="12"/>
    <n v="7"/>
    <n v="699.25"/>
    <n v="4894.75"/>
    <n v="0"/>
    <n v="479.39"/>
    <x v="1"/>
  </r>
  <r>
    <s v="8e8cd785-d4c4-4c07-b006-6fb2d1426747"/>
    <x v="168"/>
    <x v="3"/>
    <x v="21"/>
    <x v="11"/>
    <x v="2"/>
    <x v="2"/>
    <x v="1"/>
    <x v="2"/>
    <n v="9"/>
    <n v="122.99"/>
    <n v="1106.9100000000001"/>
    <n v="0.1"/>
    <n v="65.06"/>
    <x v="3"/>
  </r>
  <r>
    <s v="772eeb50-c913-43c8-bcdb-06ceb6c7ccef"/>
    <x v="169"/>
    <x v="1"/>
    <x v="20"/>
    <x v="9"/>
    <x v="3"/>
    <x v="1"/>
    <x v="0"/>
    <x v="0"/>
    <n v="8"/>
    <n v="28.66"/>
    <n v="229.28"/>
    <n v="0.15"/>
    <n v="24.6"/>
    <x v="1"/>
  </r>
  <r>
    <s v="95a537e4-5fe3-41f4-989d-f58239a8488c"/>
    <x v="69"/>
    <x v="1"/>
    <x v="16"/>
    <x v="8"/>
    <x v="3"/>
    <x v="1"/>
    <x v="2"/>
    <x v="9"/>
    <n v="6"/>
    <n v="670.95"/>
    <n v="4025.7"/>
    <n v="0.15"/>
    <n v="502.85"/>
    <x v="2"/>
  </r>
  <r>
    <s v="fbe3da2c-7cc1-452e-9743-13b95c81041f"/>
    <x v="19"/>
    <x v="3"/>
    <x v="0"/>
    <x v="0"/>
    <x v="0"/>
    <x v="2"/>
    <x v="0"/>
    <x v="4"/>
    <n v="3"/>
    <n v="172.25"/>
    <n v="516.75"/>
    <n v="0"/>
    <n v="88.57"/>
    <x v="0"/>
  </r>
  <r>
    <s v="258c4a0b-3463-4985-b355-28fa0be95ea7"/>
    <x v="74"/>
    <x v="3"/>
    <x v="1"/>
    <x v="1"/>
    <x v="1"/>
    <x v="1"/>
    <x v="1"/>
    <x v="2"/>
    <n v="5"/>
    <n v="155.19"/>
    <n v="775.95"/>
    <n v="0.1"/>
    <n v="59.77"/>
    <x v="1"/>
  </r>
  <r>
    <s v="6e0b62e8-c31a-4f1e-ab22-523c9edbcaf6"/>
    <x v="56"/>
    <x v="4"/>
    <x v="6"/>
    <x v="4"/>
    <x v="3"/>
    <x v="0"/>
    <x v="0"/>
    <x v="10"/>
    <n v="7"/>
    <n v="690.97"/>
    <n v="4836.79"/>
    <n v="0.15"/>
    <n v="248.66"/>
    <x v="1"/>
  </r>
  <r>
    <s v="e903ab9f-df35-4357-8bf7-24c65e3bea9f"/>
    <x v="57"/>
    <x v="1"/>
    <x v="16"/>
    <x v="8"/>
    <x v="3"/>
    <x v="1"/>
    <x v="0"/>
    <x v="4"/>
    <n v="2"/>
    <n v="18.010000000000002"/>
    <n v="36.020000000000003"/>
    <n v="0"/>
    <n v="8.93"/>
    <x v="2"/>
  </r>
  <r>
    <s v="f94ba303-3e86-4226-a4ef-c9a4a781b398"/>
    <x v="170"/>
    <x v="3"/>
    <x v="22"/>
    <x v="10"/>
    <x v="1"/>
    <x v="0"/>
    <x v="3"/>
    <x v="11"/>
    <n v="1"/>
    <n v="416.85"/>
    <n v="416.85"/>
    <n v="0"/>
    <n v="88.84"/>
    <x v="2"/>
  </r>
  <r>
    <s v="6cc00635-0619-4aae-a911-57a7caca725a"/>
    <x v="171"/>
    <x v="4"/>
    <x v="10"/>
    <x v="0"/>
    <x v="0"/>
    <x v="2"/>
    <x v="3"/>
    <x v="8"/>
    <n v="2"/>
    <n v="233.94"/>
    <n v="467.88"/>
    <n v="0"/>
    <n v="56.76"/>
    <x v="3"/>
  </r>
  <r>
    <s v="e42a8ade-a18c-43df-a9b4-9661715bfd45"/>
    <x v="172"/>
    <x v="2"/>
    <x v="19"/>
    <x v="4"/>
    <x v="3"/>
    <x v="2"/>
    <x v="1"/>
    <x v="6"/>
    <n v="8"/>
    <n v="221.66"/>
    <n v="1773.28"/>
    <n v="0.1"/>
    <n v="287.25"/>
    <x v="2"/>
  </r>
  <r>
    <s v="c5cb109e-eb4d-4818-a67d-eb76abce84ea"/>
    <x v="59"/>
    <x v="1"/>
    <x v="18"/>
    <x v="10"/>
    <x v="1"/>
    <x v="0"/>
    <x v="3"/>
    <x v="11"/>
    <n v="2"/>
    <n v="713.11"/>
    <n v="1426.22"/>
    <n v="0.2"/>
    <n v="96.17"/>
    <x v="3"/>
  </r>
  <r>
    <s v="bbcee68b-11b3-480a-bf9f-16f5507a734f"/>
    <x v="173"/>
    <x v="1"/>
    <x v="6"/>
    <x v="4"/>
    <x v="3"/>
    <x v="1"/>
    <x v="0"/>
    <x v="0"/>
    <n v="8"/>
    <n v="69.38"/>
    <n v="555.04"/>
    <n v="0"/>
    <n v="95.3"/>
    <x v="0"/>
  </r>
  <r>
    <s v="d12fc2c1-844d-43d8-a3e4-2fb9d78c035e"/>
    <x v="30"/>
    <x v="3"/>
    <x v="10"/>
    <x v="0"/>
    <x v="0"/>
    <x v="1"/>
    <x v="2"/>
    <x v="5"/>
    <n v="5"/>
    <n v="237.92"/>
    <n v="1189.5999999999999"/>
    <n v="0.15"/>
    <n v="203.7"/>
    <x v="1"/>
  </r>
  <r>
    <s v="e20656c5-c8b8-48ea-b6af-1d28a68ba7bf"/>
    <x v="174"/>
    <x v="1"/>
    <x v="11"/>
    <x v="7"/>
    <x v="0"/>
    <x v="1"/>
    <x v="0"/>
    <x v="4"/>
    <n v="7"/>
    <n v="205.98"/>
    <n v="1441.86"/>
    <n v="0"/>
    <n v="140.74"/>
    <x v="2"/>
  </r>
  <r>
    <s v="fa6996eb-e93d-41c3-98fc-706f984ec7ca"/>
    <x v="135"/>
    <x v="1"/>
    <x v="5"/>
    <x v="3"/>
    <x v="2"/>
    <x v="0"/>
    <x v="2"/>
    <x v="3"/>
    <n v="9"/>
    <n v="792.2"/>
    <n v="7129.8"/>
    <n v="0.15"/>
    <n v="1088.49"/>
    <x v="1"/>
  </r>
  <r>
    <s v="babaebbb-d6c6-4a22-9bde-60b77edadda9"/>
    <x v="146"/>
    <x v="1"/>
    <x v="0"/>
    <x v="0"/>
    <x v="0"/>
    <x v="1"/>
    <x v="3"/>
    <x v="11"/>
    <n v="9"/>
    <n v="55.97"/>
    <n v="503.73"/>
    <n v="0.05"/>
    <n v="100.63"/>
    <x v="2"/>
  </r>
  <r>
    <s v="623bd5c9-daee-4956-8f40-3d792d33c9c8"/>
    <x v="175"/>
    <x v="3"/>
    <x v="19"/>
    <x v="4"/>
    <x v="3"/>
    <x v="2"/>
    <x v="1"/>
    <x v="12"/>
    <n v="2"/>
    <n v="870.13"/>
    <n v="1740.26"/>
    <n v="0"/>
    <n v="418.94"/>
    <x v="1"/>
  </r>
  <r>
    <s v="a57dd366-1b6c-4afc-8196-8b90cb15fa0b"/>
    <x v="170"/>
    <x v="3"/>
    <x v="7"/>
    <x v="5"/>
    <x v="0"/>
    <x v="0"/>
    <x v="0"/>
    <x v="10"/>
    <n v="4"/>
    <n v="508.41"/>
    <n v="2033.64"/>
    <n v="0.15"/>
    <n v="337.07"/>
    <x v="2"/>
  </r>
  <r>
    <s v="3e22fd87-d64b-4c05-8d43-ca9cbaa26a9b"/>
    <x v="176"/>
    <x v="3"/>
    <x v="12"/>
    <x v="5"/>
    <x v="0"/>
    <x v="0"/>
    <x v="3"/>
    <x v="11"/>
    <n v="5"/>
    <n v="286.77999999999997"/>
    <n v="1433.9"/>
    <n v="0.15"/>
    <n v="296.83999999999997"/>
    <x v="2"/>
  </r>
  <r>
    <s v="a42d4131-4c88-41d1-8a3b-84687a95d89e"/>
    <x v="177"/>
    <x v="0"/>
    <x v="13"/>
    <x v="8"/>
    <x v="3"/>
    <x v="2"/>
    <x v="1"/>
    <x v="2"/>
    <n v="8"/>
    <n v="442.49"/>
    <n v="3539.92"/>
    <n v="0.2"/>
    <n v="486.75"/>
    <x v="2"/>
  </r>
  <r>
    <s v="374851c2-4281-47d7-8923-fcffb0fb692f"/>
    <x v="153"/>
    <x v="0"/>
    <x v="13"/>
    <x v="8"/>
    <x v="3"/>
    <x v="1"/>
    <x v="2"/>
    <x v="9"/>
    <n v="10"/>
    <n v="538.12"/>
    <n v="5381.2"/>
    <n v="0.2"/>
    <n v="840.89"/>
    <x v="0"/>
  </r>
  <r>
    <s v="45861bb5-533e-48f5-a533-aa7fbe0ef201"/>
    <x v="178"/>
    <x v="1"/>
    <x v="14"/>
    <x v="9"/>
    <x v="3"/>
    <x v="2"/>
    <x v="3"/>
    <x v="7"/>
    <n v="2"/>
    <n v="334.57"/>
    <n v="669.14"/>
    <n v="0.15"/>
    <n v="50.7"/>
    <x v="3"/>
  </r>
  <r>
    <s v="32473b20-5b84-4888-b2a4-ed686eafc3d0"/>
    <x v="179"/>
    <x v="0"/>
    <x v="1"/>
    <x v="1"/>
    <x v="1"/>
    <x v="2"/>
    <x v="1"/>
    <x v="6"/>
    <n v="7"/>
    <n v="970.55"/>
    <n v="6793.85"/>
    <n v="0.1"/>
    <n v="775.36"/>
    <x v="3"/>
  </r>
  <r>
    <s v="3107cb27-317c-479d-a41a-361ebd14e045"/>
    <x v="125"/>
    <x v="2"/>
    <x v="15"/>
    <x v="6"/>
    <x v="1"/>
    <x v="2"/>
    <x v="3"/>
    <x v="8"/>
    <n v="4"/>
    <n v="763.42"/>
    <n v="3053.68"/>
    <n v="0.1"/>
    <n v="561.35"/>
    <x v="2"/>
  </r>
  <r>
    <s v="cda0bc24-b4bd-48cf-96f5-55085bf0eec1"/>
    <x v="30"/>
    <x v="2"/>
    <x v="19"/>
    <x v="4"/>
    <x v="3"/>
    <x v="0"/>
    <x v="3"/>
    <x v="8"/>
    <n v="7"/>
    <n v="736.19"/>
    <n v="5153.33"/>
    <n v="0.05"/>
    <n v="712.54"/>
    <x v="3"/>
  </r>
  <r>
    <s v="0f1a7361-bc9f-49a1-9596-0affe37f1842"/>
    <x v="130"/>
    <x v="1"/>
    <x v="8"/>
    <x v="1"/>
    <x v="1"/>
    <x v="0"/>
    <x v="3"/>
    <x v="8"/>
    <n v="3"/>
    <n v="255.78"/>
    <n v="767.34"/>
    <n v="0.2"/>
    <n v="101.7"/>
    <x v="3"/>
  </r>
  <r>
    <s v="e2dd4dbd-0d5d-4dfe-9e95-78d8ea965a46"/>
    <x v="180"/>
    <x v="0"/>
    <x v="18"/>
    <x v="10"/>
    <x v="1"/>
    <x v="0"/>
    <x v="1"/>
    <x v="6"/>
    <n v="9"/>
    <n v="910.13"/>
    <n v="8191.17"/>
    <n v="0.15"/>
    <n v="579.03"/>
    <x v="1"/>
  </r>
  <r>
    <s v="fe0a5b76-eb4d-48e0-baff-0dcb58195b2b"/>
    <x v="34"/>
    <x v="4"/>
    <x v="23"/>
    <x v="11"/>
    <x v="2"/>
    <x v="2"/>
    <x v="2"/>
    <x v="5"/>
    <n v="2"/>
    <n v="111.06"/>
    <n v="222.12"/>
    <n v="0.2"/>
    <n v="36.49"/>
    <x v="3"/>
  </r>
  <r>
    <s v="2a65b68f-3ef3-4caa-9973-d5b7504dcfb0"/>
    <x v="175"/>
    <x v="0"/>
    <x v="21"/>
    <x v="11"/>
    <x v="2"/>
    <x v="0"/>
    <x v="3"/>
    <x v="11"/>
    <n v="1"/>
    <n v="987.05"/>
    <n v="987.05"/>
    <n v="0.15"/>
    <n v="42.21"/>
    <x v="0"/>
  </r>
  <r>
    <s v="befd52b6-3e35-40fa-99f1-0e82919a2143"/>
    <x v="181"/>
    <x v="0"/>
    <x v="19"/>
    <x v="4"/>
    <x v="3"/>
    <x v="1"/>
    <x v="0"/>
    <x v="1"/>
    <n v="6"/>
    <n v="188.03"/>
    <n v="1128.18"/>
    <n v="0.05"/>
    <n v="96.04"/>
    <x v="2"/>
  </r>
  <r>
    <s v="713c813c-d301-4e85-972a-6741c17e7dbb"/>
    <x v="44"/>
    <x v="3"/>
    <x v="15"/>
    <x v="6"/>
    <x v="1"/>
    <x v="1"/>
    <x v="1"/>
    <x v="12"/>
    <n v="3"/>
    <n v="809.56"/>
    <n v="2428.6799999999998"/>
    <n v="0.05"/>
    <n v="235.04"/>
    <x v="1"/>
  </r>
  <r>
    <s v="483e4136-191c-47c0-8733-577278a19ef5"/>
    <x v="135"/>
    <x v="2"/>
    <x v="8"/>
    <x v="1"/>
    <x v="1"/>
    <x v="2"/>
    <x v="2"/>
    <x v="5"/>
    <n v="7"/>
    <n v="126.43"/>
    <n v="885.01"/>
    <n v="0"/>
    <n v="104.81"/>
    <x v="1"/>
  </r>
  <r>
    <s v="be57726b-e367-4534-87d7-975748eceb74"/>
    <x v="76"/>
    <x v="2"/>
    <x v="6"/>
    <x v="4"/>
    <x v="3"/>
    <x v="1"/>
    <x v="1"/>
    <x v="2"/>
    <n v="1"/>
    <n v="665.99"/>
    <n v="665.99"/>
    <n v="0"/>
    <n v="46.2"/>
    <x v="0"/>
  </r>
  <r>
    <s v="e44ae5aa-88f2-45b9-9e4c-b61a4e702224"/>
    <x v="182"/>
    <x v="1"/>
    <x v="3"/>
    <x v="2"/>
    <x v="2"/>
    <x v="0"/>
    <x v="0"/>
    <x v="1"/>
    <n v="6"/>
    <n v="372.04"/>
    <n v="2232.2399999999998"/>
    <n v="0.1"/>
    <n v="502.03"/>
    <x v="3"/>
  </r>
  <r>
    <s v="0cf40063-9ae8-437c-ae08-519eeebf7431"/>
    <x v="183"/>
    <x v="1"/>
    <x v="20"/>
    <x v="9"/>
    <x v="3"/>
    <x v="2"/>
    <x v="1"/>
    <x v="2"/>
    <n v="1"/>
    <n v="458.01"/>
    <n v="458.01"/>
    <n v="0.15"/>
    <n v="75.930000000000007"/>
    <x v="1"/>
  </r>
  <r>
    <s v="4cdef091-0ff1-4f86-abba-fccceefb9188"/>
    <x v="10"/>
    <x v="3"/>
    <x v="1"/>
    <x v="1"/>
    <x v="1"/>
    <x v="2"/>
    <x v="1"/>
    <x v="6"/>
    <n v="10"/>
    <n v="686.81"/>
    <n v="6868.1"/>
    <n v="0.15"/>
    <n v="893.1"/>
    <x v="3"/>
  </r>
  <r>
    <s v="a122404e-90dc-4efc-9ed3-aefa2bcc9030"/>
    <x v="139"/>
    <x v="2"/>
    <x v="5"/>
    <x v="3"/>
    <x v="2"/>
    <x v="0"/>
    <x v="1"/>
    <x v="6"/>
    <n v="8"/>
    <n v="235.09"/>
    <n v="1880.72"/>
    <n v="0.15"/>
    <n v="207.87"/>
    <x v="0"/>
  </r>
  <r>
    <s v="a32a2f07-2740-4f79-a298-d195fa8d1c36"/>
    <x v="184"/>
    <x v="0"/>
    <x v="20"/>
    <x v="9"/>
    <x v="3"/>
    <x v="2"/>
    <x v="0"/>
    <x v="0"/>
    <n v="3"/>
    <n v="870.12"/>
    <n v="2610.36"/>
    <n v="0.2"/>
    <n v="432.22"/>
    <x v="2"/>
  </r>
  <r>
    <s v="b10341aa-c14f-4627-848c-991f8f41121a"/>
    <x v="185"/>
    <x v="4"/>
    <x v="13"/>
    <x v="8"/>
    <x v="3"/>
    <x v="2"/>
    <x v="0"/>
    <x v="10"/>
    <n v="8"/>
    <n v="955.14"/>
    <n v="7641.12"/>
    <n v="0.15"/>
    <n v="1185.51"/>
    <x v="2"/>
  </r>
  <r>
    <s v="130565be-3bc5-477b-9ddf-b9d50cd12a91"/>
    <x v="30"/>
    <x v="2"/>
    <x v="7"/>
    <x v="5"/>
    <x v="0"/>
    <x v="2"/>
    <x v="1"/>
    <x v="6"/>
    <n v="3"/>
    <n v="929.15"/>
    <n v="2787.45"/>
    <n v="0.1"/>
    <n v="578.33000000000004"/>
    <x v="1"/>
  </r>
  <r>
    <s v="57c9d034-bfa1-4e61-bec1-2f6b5888405c"/>
    <x v="186"/>
    <x v="2"/>
    <x v="23"/>
    <x v="11"/>
    <x v="2"/>
    <x v="0"/>
    <x v="3"/>
    <x v="11"/>
    <n v="9"/>
    <n v="634.28"/>
    <n v="5708.52"/>
    <n v="0.15"/>
    <n v="330.38"/>
    <x v="2"/>
  </r>
  <r>
    <s v="99221e55-4617-4718-b779-95cf98ea391e"/>
    <x v="187"/>
    <x v="0"/>
    <x v="1"/>
    <x v="1"/>
    <x v="1"/>
    <x v="0"/>
    <x v="3"/>
    <x v="11"/>
    <n v="9"/>
    <n v="966.32"/>
    <n v="8696.8799999999992"/>
    <n v="0.15"/>
    <n v="1564.88"/>
    <x v="3"/>
  </r>
  <r>
    <s v="6993e2e4-b866-465c-a810-72ffada640a5"/>
    <x v="188"/>
    <x v="2"/>
    <x v="15"/>
    <x v="6"/>
    <x v="1"/>
    <x v="1"/>
    <x v="1"/>
    <x v="2"/>
    <n v="10"/>
    <n v="937.34"/>
    <n v="9373.4"/>
    <n v="0"/>
    <n v="1542.56"/>
    <x v="0"/>
  </r>
  <r>
    <s v="7cac918c-733b-4107-88b0-b57508d5da16"/>
    <x v="189"/>
    <x v="1"/>
    <x v="6"/>
    <x v="4"/>
    <x v="3"/>
    <x v="1"/>
    <x v="1"/>
    <x v="2"/>
    <n v="7"/>
    <n v="979.89"/>
    <n v="6859.23"/>
    <n v="0.1"/>
    <n v="1260.94"/>
    <x v="2"/>
  </r>
  <r>
    <s v="1d8a4d71-057a-4b52-a726-40c2b71041ef"/>
    <x v="190"/>
    <x v="2"/>
    <x v="12"/>
    <x v="5"/>
    <x v="0"/>
    <x v="0"/>
    <x v="1"/>
    <x v="12"/>
    <n v="6"/>
    <n v="146.41"/>
    <n v="878.46"/>
    <n v="0.1"/>
    <n v="171.91"/>
    <x v="3"/>
  </r>
  <r>
    <s v="dfe11547-43c7-41e0-bf0d-4cf585f205fd"/>
    <x v="191"/>
    <x v="3"/>
    <x v="13"/>
    <x v="8"/>
    <x v="3"/>
    <x v="0"/>
    <x v="2"/>
    <x v="3"/>
    <n v="10"/>
    <n v="321.5"/>
    <n v="3215"/>
    <n v="0.2"/>
    <n v="638.03"/>
    <x v="1"/>
  </r>
  <r>
    <s v="7551b24d-a21d-4400-8881-3f40ef034ef1"/>
    <x v="184"/>
    <x v="0"/>
    <x v="6"/>
    <x v="4"/>
    <x v="3"/>
    <x v="2"/>
    <x v="0"/>
    <x v="0"/>
    <n v="1"/>
    <n v="981.18"/>
    <n v="981.18"/>
    <n v="0.1"/>
    <n v="71.12"/>
    <x v="3"/>
  </r>
  <r>
    <s v="83a493e7-cee6-458d-98f7-6fe4d9e84b50"/>
    <x v="192"/>
    <x v="3"/>
    <x v="10"/>
    <x v="0"/>
    <x v="0"/>
    <x v="2"/>
    <x v="1"/>
    <x v="12"/>
    <n v="5"/>
    <n v="984.42"/>
    <n v="4922.1000000000004"/>
    <n v="0.05"/>
    <n v="1160.6400000000001"/>
    <x v="3"/>
  </r>
  <r>
    <s v="40d28331-8c03-4415-b581-2abbfe0585f7"/>
    <x v="193"/>
    <x v="1"/>
    <x v="19"/>
    <x v="4"/>
    <x v="3"/>
    <x v="2"/>
    <x v="2"/>
    <x v="5"/>
    <n v="2"/>
    <n v="528.79"/>
    <n v="1057.58"/>
    <n v="0.1"/>
    <n v="101.34"/>
    <x v="3"/>
  </r>
  <r>
    <s v="92e82b75-27ef-42d4-a423-58d5328bb6b5"/>
    <x v="194"/>
    <x v="1"/>
    <x v="16"/>
    <x v="8"/>
    <x v="3"/>
    <x v="0"/>
    <x v="1"/>
    <x v="12"/>
    <n v="5"/>
    <n v="458.62"/>
    <n v="2293.1"/>
    <n v="0.05"/>
    <n v="360.38"/>
    <x v="1"/>
  </r>
  <r>
    <s v="e1a2901b-0043-4dd9-95a9-081849183ca4"/>
    <x v="127"/>
    <x v="3"/>
    <x v="20"/>
    <x v="9"/>
    <x v="3"/>
    <x v="1"/>
    <x v="2"/>
    <x v="3"/>
    <n v="1"/>
    <n v="363.5"/>
    <n v="363.5"/>
    <n v="0.2"/>
    <n v="20.47"/>
    <x v="2"/>
  </r>
  <r>
    <s v="776a5068-2ee2-4faf-9f0f-a992886b6012"/>
    <x v="195"/>
    <x v="2"/>
    <x v="6"/>
    <x v="4"/>
    <x v="3"/>
    <x v="1"/>
    <x v="1"/>
    <x v="2"/>
    <n v="8"/>
    <n v="181.27"/>
    <n v="1450.16"/>
    <n v="0"/>
    <n v="106.54"/>
    <x v="0"/>
  </r>
  <r>
    <s v="b25cb85c-7ba7-4e91-9d98-9159035f1c46"/>
    <x v="4"/>
    <x v="3"/>
    <x v="13"/>
    <x v="8"/>
    <x v="3"/>
    <x v="1"/>
    <x v="3"/>
    <x v="8"/>
    <n v="4"/>
    <n v="397.85"/>
    <n v="1591.4"/>
    <n v="0.1"/>
    <n v="268.69"/>
    <x v="1"/>
  </r>
  <r>
    <s v="6e247ed9-16b3-403d-9191-e1c6bb47338f"/>
    <x v="196"/>
    <x v="0"/>
    <x v="6"/>
    <x v="4"/>
    <x v="3"/>
    <x v="0"/>
    <x v="1"/>
    <x v="12"/>
    <n v="5"/>
    <n v="633.07000000000005"/>
    <n v="3165.35"/>
    <n v="0.15"/>
    <n v="332.19"/>
    <x v="3"/>
  </r>
  <r>
    <s v="f06830c1-8775-4cfe-a061-d465cba662a9"/>
    <x v="197"/>
    <x v="4"/>
    <x v="18"/>
    <x v="10"/>
    <x v="1"/>
    <x v="1"/>
    <x v="0"/>
    <x v="4"/>
    <n v="10"/>
    <n v="573.84"/>
    <n v="5738.4"/>
    <n v="0.2"/>
    <n v="669.78"/>
    <x v="1"/>
  </r>
  <r>
    <s v="c4c12eef-0cc8-4fcc-8048-613bc0f5d4ae"/>
    <x v="198"/>
    <x v="1"/>
    <x v="14"/>
    <x v="9"/>
    <x v="3"/>
    <x v="0"/>
    <x v="0"/>
    <x v="10"/>
    <n v="2"/>
    <n v="326.58"/>
    <n v="653.16"/>
    <n v="0.2"/>
    <n v="45.45"/>
    <x v="2"/>
  </r>
  <r>
    <s v="c8d59b84-43b5-4f48-b04b-b02185a3f913"/>
    <x v="21"/>
    <x v="3"/>
    <x v="16"/>
    <x v="8"/>
    <x v="3"/>
    <x v="0"/>
    <x v="0"/>
    <x v="1"/>
    <n v="3"/>
    <n v="862.28"/>
    <n v="2586.84"/>
    <n v="0.05"/>
    <n v="125.49"/>
    <x v="1"/>
  </r>
  <r>
    <s v="38303800-0b6b-4d79-bdc2-a513fbb4fe06"/>
    <x v="199"/>
    <x v="4"/>
    <x v="22"/>
    <x v="10"/>
    <x v="1"/>
    <x v="1"/>
    <x v="2"/>
    <x v="5"/>
    <n v="2"/>
    <n v="563.37"/>
    <n v="1126.74"/>
    <n v="0"/>
    <n v="75.400000000000006"/>
    <x v="2"/>
  </r>
  <r>
    <s v="3145b0c2-8eff-4dc3-859f-97485c669639"/>
    <x v="14"/>
    <x v="0"/>
    <x v="21"/>
    <x v="11"/>
    <x v="2"/>
    <x v="0"/>
    <x v="0"/>
    <x v="0"/>
    <n v="4"/>
    <n v="302"/>
    <n v="1208"/>
    <n v="0.2"/>
    <n v="223.16"/>
    <x v="1"/>
  </r>
  <r>
    <s v="f2c08b8a-fdf2-4ad7-9904-5128e3197506"/>
    <x v="39"/>
    <x v="1"/>
    <x v="13"/>
    <x v="8"/>
    <x v="3"/>
    <x v="0"/>
    <x v="3"/>
    <x v="8"/>
    <n v="10"/>
    <n v="539.13"/>
    <n v="5391.3"/>
    <n v="0.05"/>
    <n v="960.77"/>
    <x v="0"/>
  </r>
  <r>
    <s v="6f9321cb-6d95-42e6-a6ed-41a4d5af10d3"/>
    <x v="146"/>
    <x v="1"/>
    <x v="22"/>
    <x v="10"/>
    <x v="1"/>
    <x v="1"/>
    <x v="0"/>
    <x v="10"/>
    <n v="10"/>
    <n v="552.97"/>
    <n v="5529.7"/>
    <n v="0.2"/>
    <n v="538.87"/>
    <x v="2"/>
  </r>
  <r>
    <s v="ca2812c3-7448-4761-a869-6cd91a512866"/>
    <x v="96"/>
    <x v="1"/>
    <x v="13"/>
    <x v="8"/>
    <x v="3"/>
    <x v="2"/>
    <x v="1"/>
    <x v="12"/>
    <n v="7"/>
    <n v="457.16"/>
    <n v="3200.12"/>
    <n v="0.1"/>
    <n v="533.70000000000005"/>
    <x v="2"/>
  </r>
  <r>
    <s v="58f37dca-b682-4c57-8cf6-1287d2636c3c"/>
    <x v="200"/>
    <x v="3"/>
    <x v="12"/>
    <x v="5"/>
    <x v="0"/>
    <x v="0"/>
    <x v="1"/>
    <x v="12"/>
    <n v="10"/>
    <n v="658"/>
    <n v="6580"/>
    <n v="0.2"/>
    <n v="900.09"/>
    <x v="0"/>
  </r>
  <r>
    <s v="241c371f-c868-43a1-a49b-3b7c3830a215"/>
    <x v="95"/>
    <x v="2"/>
    <x v="3"/>
    <x v="2"/>
    <x v="2"/>
    <x v="0"/>
    <x v="2"/>
    <x v="9"/>
    <n v="2"/>
    <n v="271.58"/>
    <n v="543.16"/>
    <n v="0.2"/>
    <n v="31.29"/>
    <x v="2"/>
  </r>
  <r>
    <s v="fdb53f87-72d5-47cf-a5a2-3c98f146a3e1"/>
    <x v="6"/>
    <x v="1"/>
    <x v="21"/>
    <x v="11"/>
    <x v="2"/>
    <x v="2"/>
    <x v="2"/>
    <x v="9"/>
    <n v="3"/>
    <n v="869.12"/>
    <n v="2607.36"/>
    <n v="0.05"/>
    <n v="259.41000000000003"/>
    <x v="0"/>
  </r>
  <r>
    <s v="0bbe34c6-3dce-47cb-abcf-3e7695ae88c7"/>
    <x v="154"/>
    <x v="2"/>
    <x v="17"/>
    <x v="7"/>
    <x v="0"/>
    <x v="1"/>
    <x v="0"/>
    <x v="1"/>
    <n v="10"/>
    <n v="821.7"/>
    <n v="8217"/>
    <n v="0.15"/>
    <n v="482.68"/>
    <x v="0"/>
  </r>
  <r>
    <s v="1d00abae-34ed-415b-bcda-f9820c0e9b20"/>
    <x v="201"/>
    <x v="4"/>
    <x v="23"/>
    <x v="11"/>
    <x v="2"/>
    <x v="1"/>
    <x v="3"/>
    <x v="8"/>
    <n v="3"/>
    <n v="319.36"/>
    <n v="958.08"/>
    <n v="0.15"/>
    <n v="70.150000000000006"/>
    <x v="1"/>
  </r>
  <r>
    <s v="6979d45b-3b93-457a-bc6d-2b2d54655c56"/>
    <x v="202"/>
    <x v="4"/>
    <x v="17"/>
    <x v="7"/>
    <x v="0"/>
    <x v="0"/>
    <x v="2"/>
    <x v="5"/>
    <n v="3"/>
    <n v="144.38"/>
    <n v="433.14"/>
    <n v="0.2"/>
    <n v="68.290000000000006"/>
    <x v="2"/>
  </r>
  <r>
    <s v="16346de8-f7aa-472c-86aa-96ec2dac24e4"/>
    <x v="187"/>
    <x v="0"/>
    <x v="0"/>
    <x v="0"/>
    <x v="0"/>
    <x v="1"/>
    <x v="0"/>
    <x v="0"/>
    <n v="6"/>
    <n v="798.87"/>
    <n v="4793.22"/>
    <n v="0.2"/>
    <n v="411.7"/>
    <x v="3"/>
  </r>
  <r>
    <s v="60c1dde4-79d5-45a5-8be5-311a74da0c0e"/>
    <x v="136"/>
    <x v="1"/>
    <x v="17"/>
    <x v="7"/>
    <x v="0"/>
    <x v="2"/>
    <x v="2"/>
    <x v="3"/>
    <n v="2"/>
    <n v="635.41"/>
    <n v="1270.82"/>
    <n v="0"/>
    <n v="249.07"/>
    <x v="0"/>
  </r>
  <r>
    <s v="6c1f3783-65fd-4ea4-adb3-2d3745ef326e"/>
    <x v="203"/>
    <x v="4"/>
    <x v="18"/>
    <x v="10"/>
    <x v="1"/>
    <x v="2"/>
    <x v="0"/>
    <x v="10"/>
    <n v="7"/>
    <n v="677.68"/>
    <n v="4743.76"/>
    <n v="0.05"/>
    <n v="657.65"/>
    <x v="1"/>
  </r>
  <r>
    <s v="03f41a5f-28e8-49da-b490-840fd957698a"/>
    <x v="51"/>
    <x v="2"/>
    <x v="8"/>
    <x v="1"/>
    <x v="1"/>
    <x v="0"/>
    <x v="0"/>
    <x v="1"/>
    <n v="9"/>
    <n v="750.17"/>
    <n v="6751.53"/>
    <n v="0.05"/>
    <n v="1596.08"/>
    <x v="3"/>
  </r>
  <r>
    <s v="44987b6d-d84e-4010-8a24-c979153f14b2"/>
    <x v="159"/>
    <x v="3"/>
    <x v="10"/>
    <x v="0"/>
    <x v="0"/>
    <x v="1"/>
    <x v="0"/>
    <x v="1"/>
    <n v="3"/>
    <n v="514.66"/>
    <n v="1543.98"/>
    <n v="0"/>
    <n v="207.73"/>
    <x v="0"/>
  </r>
  <r>
    <s v="f4385292-a43f-41dd-b451-c98b3f662d36"/>
    <x v="204"/>
    <x v="3"/>
    <x v="5"/>
    <x v="3"/>
    <x v="2"/>
    <x v="0"/>
    <x v="2"/>
    <x v="9"/>
    <n v="5"/>
    <n v="300.58"/>
    <n v="1502.9"/>
    <n v="0.1"/>
    <n v="139.25"/>
    <x v="1"/>
  </r>
  <r>
    <s v="b70481f4-9b01-4edf-ad3f-3e0dbcc69c92"/>
    <x v="170"/>
    <x v="0"/>
    <x v="17"/>
    <x v="7"/>
    <x v="0"/>
    <x v="0"/>
    <x v="0"/>
    <x v="1"/>
    <n v="1"/>
    <n v="357.03"/>
    <n v="357.03"/>
    <n v="0.2"/>
    <n v="40.58"/>
    <x v="3"/>
  </r>
  <r>
    <s v="515751e0-b55f-4491-8e17-1b426e63d54b"/>
    <x v="95"/>
    <x v="3"/>
    <x v="18"/>
    <x v="10"/>
    <x v="1"/>
    <x v="2"/>
    <x v="3"/>
    <x v="7"/>
    <n v="1"/>
    <n v="103.14"/>
    <n v="103.14"/>
    <n v="0.15"/>
    <n v="7.85"/>
    <x v="0"/>
  </r>
  <r>
    <s v="4c4d7faa-5540-449a-bbcb-ba79bf343562"/>
    <x v="205"/>
    <x v="3"/>
    <x v="15"/>
    <x v="6"/>
    <x v="1"/>
    <x v="0"/>
    <x v="1"/>
    <x v="2"/>
    <n v="4"/>
    <n v="471.76"/>
    <n v="1887.04"/>
    <n v="0.1"/>
    <n v="186.57"/>
    <x v="0"/>
  </r>
  <r>
    <s v="e6ec4bf6-67be-4872-886d-bf27ffb8ede4"/>
    <x v="28"/>
    <x v="0"/>
    <x v="5"/>
    <x v="3"/>
    <x v="2"/>
    <x v="1"/>
    <x v="2"/>
    <x v="9"/>
    <n v="6"/>
    <n v="747.6"/>
    <n v="4485.6000000000004"/>
    <n v="0"/>
    <n v="546.55999999999995"/>
    <x v="2"/>
  </r>
  <r>
    <s v="e5b4161e-4559-4dd8-91bd-14afafc09e48"/>
    <x v="196"/>
    <x v="3"/>
    <x v="17"/>
    <x v="7"/>
    <x v="0"/>
    <x v="2"/>
    <x v="1"/>
    <x v="6"/>
    <n v="6"/>
    <n v="901.2"/>
    <n v="5407.2"/>
    <n v="0.05"/>
    <n v="941.28"/>
    <x v="3"/>
  </r>
  <r>
    <s v="56384eda-7368-4d87-887b-a22dbbe0b78b"/>
    <x v="159"/>
    <x v="0"/>
    <x v="5"/>
    <x v="3"/>
    <x v="2"/>
    <x v="0"/>
    <x v="2"/>
    <x v="3"/>
    <n v="3"/>
    <n v="326.24"/>
    <n v="978.72"/>
    <n v="0.15"/>
    <n v="125.1"/>
    <x v="3"/>
  </r>
  <r>
    <s v="7833ce12-2f5a-4210-963d-6dc2f16fc02d"/>
    <x v="42"/>
    <x v="3"/>
    <x v="22"/>
    <x v="10"/>
    <x v="1"/>
    <x v="1"/>
    <x v="2"/>
    <x v="9"/>
    <n v="9"/>
    <n v="15.62"/>
    <n v="140.58000000000001"/>
    <n v="0.05"/>
    <n v="8.07"/>
    <x v="0"/>
  </r>
  <r>
    <s v="88a6bc57-4f25-4442-a0fb-db91dafdc89a"/>
    <x v="206"/>
    <x v="1"/>
    <x v="9"/>
    <x v="6"/>
    <x v="1"/>
    <x v="2"/>
    <x v="3"/>
    <x v="7"/>
    <n v="2"/>
    <n v="761.38"/>
    <n v="1522.76"/>
    <n v="0.05"/>
    <n v="251.02"/>
    <x v="3"/>
  </r>
  <r>
    <s v="1e0a9901-a120-4d4a-abc3-737d3e841ece"/>
    <x v="207"/>
    <x v="3"/>
    <x v="5"/>
    <x v="3"/>
    <x v="2"/>
    <x v="0"/>
    <x v="1"/>
    <x v="6"/>
    <n v="4"/>
    <n v="474.95"/>
    <n v="1899.8"/>
    <n v="0"/>
    <n v="361.4"/>
    <x v="3"/>
  </r>
  <r>
    <s v="4daacb62-f24c-4e8b-99a6-9d92113910b4"/>
    <x v="208"/>
    <x v="3"/>
    <x v="7"/>
    <x v="5"/>
    <x v="0"/>
    <x v="2"/>
    <x v="1"/>
    <x v="6"/>
    <n v="5"/>
    <n v="990.42"/>
    <n v="4952.1000000000004"/>
    <n v="0.05"/>
    <n v="636.33000000000004"/>
    <x v="1"/>
  </r>
  <r>
    <s v="3ce92d9c-ad81-4309-8e48-375d722c1f33"/>
    <x v="151"/>
    <x v="4"/>
    <x v="9"/>
    <x v="6"/>
    <x v="1"/>
    <x v="2"/>
    <x v="1"/>
    <x v="6"/>
    <n v="4"/>
    <n v="337.51"/>
    <n v="1350.04"/>
    <n v="0.15"/>
    <n v="71.459999999999994"/>
    <x v="2"/>
  </r>
  <r>
    <s v="4388d965-15b0-4c00-8ab3-fac33960fb1e"/>
    <x v="209"/>
    <x v="1"/>
    <x v="15"/>
    <x v="6"/>
    <x v="1"/>
    <x v="2"/>
    <x v="2"/>
    <x v="3"/>
    <n v="6"/>
    <n v="712.16"/>
    <n v="4272.96"/>
    <n v="0.05"/>
    <n v="462.63"/>
    <x v="0"/>
  </r>
  <r>
    <s v="cc5fdda0-6a59-4f21-96be-98522369bfaa"/>
    <x v="42"/>
    <x v="1"/>
    <x v="22"/>
    <x v="10"/>
    <x v="1"/>
    <x v="1"/>
    <x v="0"/>
    <x v="10"/>
    <n v="8"/>
    <n v="281.60000000000002"/>
    <n v="2252.8000000000002"/>
    <n v="0.2"/>
    <n v="126.43"/>
    <x v="0"/>
  </r>
  <r>
    <s v="3a59ff6d-5eff-45ba-ac05-2c8e6fd7a9cb"/>
    <x v="24"/>
    <x v="1"/>
    <x v="14"/>
    <x v="9"/>
    <x v="3"/>
    <x v="1"/>
    <x v="1"/>
    <x v="2"/>
    <n v="1"/>
    <n v="683.6"/>
    <n v="683.6"/>
    <n v="0.05"/>
    <n v="75.489999999999995"/>
    <x v="1"/>
  </r>
  <r>
    <s v="3cb171bd-6c65-48aa-804e-e5ccd090bf6e"/>
    <x v="210"/>
    <x v="3"/>
    <x v="5"/>
    <x v="3"/>
    <x v="2"/>
    <x v="0"/>
    <x v="3"/>
    <x v="8"/>
    <n v="2"/>
    <n v="887.42"/>
    <n v="1774.84"/>
    <n v="0.05"/>
    <n v="296.60000000000002"/>
    <x v="3"/>
  </r>
  <r>
    <s v="2d1fa704-c95c-47d0-9ee5-a45c301602ab"/>
    <x v="211"/>
    <x v="2"/>
    <x v="12"/>
    <x v="5"/>
    <x v="0"/>
    <x v="1"/>
    <x v="0"/>
    <x v="4"/>
    <n v="5"/>
    <n v="725.9"/>
    <n v="3629.5"/>
    <n v="0.05"/>
    <n v="540.35"/>
    <x v="0"/>
  </r>
  <r>
    <s v="2a2e8f00-b5a7-45fe-8997-ca862642251b"/>
    <x v="93"/>
    <x v="4"/>
    <x v="12"/>
    <x v="5"/>
    <x v="0"/>
    <x v="0"/>
    <x v="1"/>
    <x v="6"/>
    <n v="9"/>
    <n v="975.18"/>
    <n v="8776.6200000000008"/>
    <n v="0.1"/>
    <n v="1103.46"/>
    <x v="0"/>
  </r>
  <r>
    <s v="ed0cb4d4-0e84-43f6-aa18-c7ddb0bbf236"/>
    <x v="166"/>
    <x v="4"/>
    <x v="9"/>
    <x v="6"/>
    <x v="1"/>
    <x v="0"/>
    <x v="0"/>
    <x v="1"/>
    <n v="3"/>
    <n v="599.96"/>
    <n v="1799.88"/>
    <n v="0.05"/>
    <n v="184.55"/>
    <x v="1"/>
  </r>
  <r>
    <s v="b560aec8-35e3-43f8-9ad2-7d9cb340847b"/>
    <x v="24"/>
    <x v="3"/>
    <x v="20"/>
    <x v="9"/>
    <x v="3"/>
    <x v="2"/>
    <x v="0"/>
    <x v="10"/>
    <n v="9"/>
    <n v="779.81"/>
    <n v="7018.29"/>
    <n v="0.15"/>
    <n v="1022.76"/>
    <x v="3"/>
  </r>
  <r>
    <s v="73b261d4-5d75-429d-8f77-7bd5e5fd7f08"/>
    <x v="212"/>
    <x v="4"/>
    <x v="22"/>
    <x v="10"/>
    <x v="1"/>
    <x v="0"/>
    <x v="1"/>
    <x v="6"/>
    <n v="9"/>
    <n v="456.53"/>
    <n v="4108.7700000000004"/>
    <n v="0.2"/>
    <n v="334.51"/>
    <x v="1"/>
  </r>
  <r>
    <s v="f4c4981f-6736-4c96-81b6-85a5c45c2a4f"/>
    <x v="72"/>
    <x v="3"/>
    <x v="21"/>
    <x v="11"/>
    <x v="2"/>
    <x v="1"/>
    <x v="1"/>
    <x v="2"/>
    <n v="9"/>
    <n v="239.74"/>
    <n v="2157.66"/>
    <n v="0"/>
    <n v="383.9"/>
    <x v="1"/>
  </r>
  <r>
    <s v="2e572487-a67f-44d4-804f-0025c1bd9584"/>
    <x v="213"/>
    <x v="3"/>
    <x v="4"/>
    <x v="3"/>
    <x v="2"/>
    <x v="0"/>
    <x v="3"/>
    <x v="11"/>
    <n v="1"/>
    <n v="649.35"/>
    <n v="649.35"/>
    <n v="0.2"/>
    <n v="126.98"/>
    <x v="1"/>
  </r>
  <r>
    <s v="2c18dff4-bfbd-40f5-a59e-8e6bcfa119c5"/>
    <x v="214"/>
    <x v="0"/>
    <x v="21"/>
    <x v="11"/>
    <x v="2"/>
    <x v="0"/>
    <x v="3"/>
    <x v="11"/>
    <n v="6"/>
    <n v="985.29"/>
    <n v="5911.74"/>
    <n v="0"/>
    <n v="1269.76"/>
    <x v="0"/>
  </r>
  <r>
    <s v="9a790956-4652-48db-b0ab-a69f84a2f49a"/>
    <x v="215"/>
    <x v="2"/>
    <x v="5"/>
    <x v="3"/>
    <x v="2"/>
    <x v="0"/>
    <x v="1"/>
    <x v="12"/>
    <n v="7"/>
    <n v="945.76"/>
    <n v="6620.32"/>
    <n v="0.1"/>
    <n v="1334.69"/>
    <x v="1"/>
  </r>
  <r>
    <s v="b56e0650-256e-4f34-b0f2-8ff8d749574b"/>
    <x v="216"/>
    <x v="3"/>
    <x v="11"/>
    <x v="7"/>
    <x v="0"/>
    <x v="0"/>
    <x v="1"/>
    <x v="2"/>
    <n v="3"/>
    <n v="447.16"/>
    <n v="1341.48"/>
    <n v="0.15"/>
    <n v="141.08000000000001"/>
    <x v="3"/>
  </r>
  <r>
    <s v="31d121af-0df6-44cf-8b89-10f540c67c6f"/>
    <x v="65"/>
    <x v="3"/>
    <x v="13"/>
    <x v="8"/>
    <x v="3"/>
    <x v="1"/>
    <x v="2"/>
    <x v="9"/>
    <n v="10"/>
    <n v="491.54"/>
    <n v="4915.3999999999996"/>
    <n v="0.05"/>
    <n v="838.26"/>
    <x v="2"/>
  </r>
  <r>
    <s v="1d852291-66d4-458a-8833-8f43ea8b3ada"/>
    <x v="217"/>
    <x v="4"/>
    <x v="12"/>
    <x v="5"/>
    <x v="0"/>
    <x v="1"/>
    <x v="0"/>
    <x v="0"/>
    <n v="3"/>
    <n v="73.900000000000006"/>
    <n v="221.7"/>
    <n v="0.05"/>
    <n v="29.7"/>
    <x v="1"/>
  </r>
  <r>
    <s v="d3f472a6-1ca6-4e49-8f22-ab3289da38f5"/>
    <x v="218"/>
    <x v="4"/>
    <x v="10"/>
    <x v="0"/>
    <x v="0"/>
    <x v="1"/>
    <x v="2"/>
    <x v="9"/>
    <n v="7"/>
    <n v="22.67"/>
    <n v="158.69"/>
    <n v="0"/>
    <n v="32.159999999999997"/>
    <x v="3"/>
  </r>
  <r>
    <s v="10a5beb8-e90b-406f-96be-7b00f0117b10"/>
    <x v="219"/>
    <x v="3"/>
    <x v="12"/>
    <x v="5"/>
    <x v="0"/>
    <x v="0"/>
    <x v="0"/>
    <x v="10"/>
    <n v="1"/>
    <n v="957.7"/>
    <n v="957.7"/>
    <n v="0"/>
    <n v="151.77000000000001"/>
    <x v="1"/>
  </r>
  <r>
    <s v="5ef9f268-b191-438a-9def-ee935e0351ff"/>
    <x v="220"/>
    <x v="0"/>
    <x v="22"/>
    <x v="10"/>
    <x v="1"/>
    <x v="0"/>
    <x v="3"/>
    <x v="8"/>
    <n v="3"/>
    <n v="308.77"/>
    <n v="926.31"/>
    <n v="0.15"/>
    <n v="63.7"/>
    <x v="3"/>
  </r>
  <r>
    <s v="937a4c9a-8080-47e7-995f-954268e1c16e"/>
    <x v="221"/>
    <x v="2"/>
    <x v="22"/>
    <x v="10"/>
    <x v="1"/>
    <x v="0"/>
    <x v="0"/>
    <x v="0"/>
    <n v="2"/>
    <n v="512.52"/>
    <n v="1025.04"/>
    <n v="0.15"/>
    <n v="68.28"/>
    <x v="0"/>
  </r>
  <r>
    <s v="8e1a2ed3-d59d-4031-ab2d-c29dbc2608ff"/>
    <x v="179"/>
    <x v="3"/>
    <x v="11"/>
    <x v="7"/>
    <x v="0"/>
    <x v="2"/>
    <x v="1"/>
    <x v="6"/>
    <n v="4"/>
    <n v="921.85"/>
    <n v="3687.4"/>
    <n v="0.15"/>
    <n v="587.22"/>
    <x v="0"/>
  </r>
  <r>
    <s v="94d4dd4c-ac4d-47c7-88b1-ac8f2c4ed2eb"/>
    <x v="222"/>
    <x v="2"/>
    <x v="7"/>
    <x v="5"/>
    <x v="0"/>
    <x v="2"/>
    <x v="0"/>
    <x v="1"/>
    <n v="2"/>
    <n v="616.47"/>
    <n v="1232.94"/>
    <n v="0"/>
    <n v="150.54"/>
    <x v="0"/>
  </r>
  <r>
    <s v="f9b020ba-fbd1-442e-9a1e-c30dc1c84835"/>
    <x v="223"/>
    <x v="4"/>
    <x v="12"/>
    <x v="5"/>
    <x v="0"/>
    <x v="2"/>
    <x v="0"/>
    <x v="4"/>
    <n v="7"/>
    <n v="151.91999999999999"/>
    <n v="1063.44"/>
    <n v="0.1"/>
    <n v="167.45"/>
    <x v="2"/>
  </r>
  <r>
    <s v="99257cd4-95d1-480d-8434-e3b0ebbb79de"/>
    <x v="96"/>
    <x v="1"/>
    <x v="9"/>
    <x v="6"/>
    <x v="1"/>
    <x v="2"/>
    <x v="3"/>
    <x v="7"/>
    <n v="1"/>
    <n v="861.99"/>
    <n v="861.99"/>
    <n v="0.05"/>
    <n v="168.33"/>
    <x v="1"/>
  </r>
  <r>
    <s v="48a8bd77-9a78-417a-bfcf-76255d610cbb"/>
    <x v="224"/>
    <x v="0"/>
    <x v="11"/>
    <x v="7"/>
    <x v="0"/>
    <x v="1"/>
    <x v="1"/>
    <x v="2"/>
    <n v="10"/>
    <n v="428.6"/>
    <n v="4286"/>
    <n v="0.1"/>
    <n v="304.48"/>
    <x v="1"/>
  </r>
  <r>
    <s v="cb046b52-637c-42f3-abff-c3822e416b23"/>
    <x v="135"/>
    <x v="1"/>
    <x v="11"/>
    <x v="7"/>
    <x v="0"/>
    <x v="2"/>
    <x v="3"/>
    <x v="11"/>
    <n v="8"/>
    <n v="694.03"/>
    <n v="5552.24"/>
    <n v="0.15"/>
    <n v="803.94"/>
    <x v="3"/>
  </r>
  <r>
    <s v="240c21b3-4596-45ae-81cd-cd624f1f50d0"/>
    <x v="225"/>
    <x v="4"/>
    <x v="11"/>
    <x v="7"/>
    <x v="0"/>
    <x v="2"/>
    <x v="3"/>
    <x v="11"/>
    <n v="9"/>
    <n v="537.14"/>
    <n v="4834.26"/>
    <n v="0.05"/>
    <n v="582.91"/>
    <x v="3"/>
  </r>
  <r>
    <s v="d0bfd6c0-3a39-4268-bd35-1d1fff4c65a3"/>
    <x v="42"/>
    <x v="3"/>
    <x v="10"/>
    <x v="0"/>
    <x v="0"/>
    <x v="2"/>
    <x v="2"/>
    <x v="3"/>
    <n v="4"/>
    <n v="993.92"/>
    <n v="3975.68"/>
    <n v="0"/>
    <n v="486.94"/>
    <x v="1"/>
  </r>
  <r>
    <s v="78bc69d7-6175-4585-afcd-ef73dcc248da"/>
    <x v="114"/>
    <x v="1"/>
    <x v="18"/>
    <x v="10"/>
    <x v="1"/>
    <x v="1"/>
    <x v="2"/>
    <x v="9"/>
    <n v="8"/>
    <n v="145.85"/>
    <n v="1166.8"/>
    <n v="0.2"/>
    <n v="228.1"/>
    <x v="0"/>
  </r>
  <r>
    <s v="7164603e-7487-4b2a-ac6a-0ba1a7ec1fa1"/>
    <x v="111"/>
    <x v="3"/>
    <x v="7"/>
    <x v="5"/>
    <x v="0"/>
    <x v="1"/>
    <x v="2"/>
    <x v="9"/>
    <n v="7"/>
    <n v="733.62"/>
    <n v="5135.34"/>
    <n v="0.15"/>
    <n v="542.74"/>
    <x v="2"/>
  </r>
  <r>
    <s v="90b8d58a-092b-4461-8745-47d944ed6699"/>
    <x v="42"/>
    <x v="2"/>
    <x v="6"/>
    <x v="4"/>
    <x v="3"/>
    <x v="1"/>
    <x v="0"/>
    <x v="4"/>
    <n v="3"/>
    <n v="80.84"/>
    <n v="242.52"/>
    <n v="0"/>
    <n v="12.73"/>
    <x v="0"/>
  </r>
  <r>
    <s v="47ba95f2-52cf-4b81-977a-87fa7ba01a9f"/>
    <x v="140"/>
    <x v="4"/>
    <x v="17"/>
    <x v="7"/>
    <x v="0"/>
    <x v="0"/>
    <x v="2"/>
    <x v="9"/>
    <n v="8"/>
    <n v="412.7"/>
    <n v="3301.6"/>
    <n v="0.1"/>
    <n v="412.42"/>
    <x v="0"/>
  </r>
  <r>
    <s v="ee3fd916-0503-437a-af9d-7341a8a04a3e"/>
    <x v="162"/>
    <x v="2"/>
    <x v="22"/>
    <x v="10"/>
    <x v="1"/>
    <x v="0"/>
    <x v="0"/>
    <x v="0"/>
    <n v="9"/>
    <n v="162.03"/>
    <n v="1458.27"/>
    <n v="0.15"/>
    <n v="268.39999999999998"/>
    <x v="2"/>
  </r>
  <r>
    <s v="0255e952-112a-4e79-8aff-5015eb345748"/>
    <x v="202"/>
    <x v="3"/>
    <x v="23"/>
    <x v="11"/>
    <x v="2"/>
    <x v="2"/>
    <x v="2"/>
    <x v="3"/>
    <n v="5"/>
    <n v="973.18"/>
    <n v="4865.8999999999996"/>
    <n v="0.2"/>
    <n v="488.58"/>
    <x v="2"/>
  </r>
  <r>
    <s v="39821cfd-b9d7-423f-b73a-7d446ed3d315"/>
    <x v="187"/>
    <x v="3"/>
    <x v="17"/>
    <x v="7"/>
    <x v="0"/>
    <x v="2"/>
    <x v="1"/>
    <x v="12"/>
    <n v="9"/>
    <n v="605.87"/>
    <n v="5452.83"/>
    <n v="0"/>
    <n v="1163.1500000000001"/>
    <x v="2"/>
  </r>
  <r>
    <s v="bcaccb6a-69a3-4e57-9dc2-7ee33e2a0617"/>
    <x v="226"/>
    <x v="0"/>
    <x v="23"/>
    <x v="11"/>
    <x v="2"/>
    <x v="1"/>
    <x v="2"/>
    <x v="5"/>
    <n v="6"/>
    <n v="647.35"/>
    <n v="3884.1"/>
    <n v="0.05"/>
    <n v="383.69"/>
    <x v="1"/>
  </r>
  <r>
    <s v="dc724945-b0cc-4087-b516-89c8a84b7813"/>
    <x v="227"/>
    <x v="2"/>
    <x v="23"/>
    <x v="11"/>
    <x v="2"/>
    <x v="1"/>
    <x v="0"/>
    <x v="4"/>
    <n v="3"/>
    <n v="542.48"/>
    <n v="1627.44"/>
    <n v="0"/>
    <n v="150.35"/>
    <x v="0"/>
  </r>
  <r>
    <s v="63ac65ca-7bcd-485f-a7ce-e029cd83ee2b"/>
    <x v="47"/>
    <x v="2"/>
    <x v="10"/>
    <x v="0"/>
    <x v="0"/>
    <x v="1"/>
    <x v="0"/>
    <x v="0"/>
    <n v="2"/>
    <n v="976.71"/>
    <n v="1953.42"/>
    <n v="0.2"/>
    <n v="92.16"/>
    <x v="0"/>
  </r>
  <r>
    <s v="478eb40e-ce07-4b46-a545-e1171b8ce3c9"/>
    <x v="228"/>
    <x v="1"/>
    <x v="15"/>
    <x v="6"/>
    <x v="1"/>
    <x v="1"/>
    <x v="2"/>
    <x v="9"/>
    <n v="5"/>
    <n v="958.82"/>
    <n v="4794.1000000000004"/>
    <n v="0.2"/>
    <n v="341.25"/>
    <x v="0"/>
  </r>
  <r>
    <s v="e4157c95-de11-41cf-bd92-63a6f323fd0b"/>
    <x v="229"/>
    <x v="1"/>
    <x v="4"/>
    <x v="3"/>
    <x v="2"/>
    <x v="2"/>
    <x v="2"/>
    <x v="3"/>
    <n v="9"/>
    <n v="807.88"/>
    <n v="7270.92"/>
    <n v="0.05"/>
    <n v="378.09"/>
    <x v="1"/>
  </r>
  <r>
    <s v="853265ab-d7d6-4a78-b424-c9e975aa43dd"/>
    <x v="230"/>
    <x v="3"/>
    <x v="15"/>
    <x v="6"/>
    <x v="1"/>
    <x v="0"/>
    <x v="2"/>
    <x v="5"/>
    <n v="2"/>
    <n v="885.43"/>
    <n v="1770.86"/>
    <n v="0"/>
    <n v="426"/>
    <x v="3"/>
  </r>
  <r>
    <s v="c0bff02a-11f8-427b-a89d-65034021d80d"/>
    <x v="6"/>
    <x v="4"/>
    <x v="10"/>
    <x v="0"/>
    <x v="0"/>
    <x v="0"/>
    <x v="1"/>
    <x v="6"/>
    <n v="8"/>
    <n v="785.78"/>
    <n v="6286.24"/>
    <n v="0.1"/>
    <n v="611.97"/>
    <x v="0"/>
  </r>
  <r>
    <s v="28ca1c74-5d62-4251-8cf1-13fb95f9102a"/>
    <x v="144"/>
    <x v="4"/>
    <x v="16"/>
    <x v="8"/>
    <x v="3"/>
    <x v="0"/>
    <x v="2"/>
    <x v="9"/>
    <n v="3"/>
    <n v="567.77"/>
    <n v="1703.31"/>
    <n v="0.15"/>
    <n v="100.6"/>
    <x v="1"/>
  </r>
  <r>
    <s v="c933248f-3bad-4304-88a1-f9cc0a7a09fc"/>
    <x v="231"/>
    <x v="0"/>
    <x v="21"/>
    <x v="11"/>
    <x v="2"/>
    <x v="1"/>
    <x v="0"/>
    <x v="10"/>
    <n v="6"/>
    <n v="171.38"/>
    <n v="1028.28"/>
    <n v="0.1"/>
    <n v="76.16"/>
    <x v="3"/>
  </r>
  <r>
    <s v="007677b6-5d81-49b3-ab88-5bc056a69a1d"/>
    <x v="232"/>
    <x v="2"/>
    <x v="2"/>
    <x v="2"/>
    <x v="2"/>
    <x v="1"/>
    <x v="3"/>
    <x v="8"/>
    <n v="5"/>
    <n v="986.17"/>
    <n v="4930.8500000000004"/>
    <n v="0.1"/>
    <n v="899.22"/>
    <x v="3"/>
  </r>
  <r>
    <s v="1bc7d904-f4b9-4595-96b7-6e608f8d2249"/>
    <x v="233"/>
    <x v="2"/>
    <x v="12"/>
    <x v="5"/>
    <x v="0"/>
    <x v="2"/>
    <x v="2"/>
    <x v="3"/>
    <n v="7"/>
    <n v="410.22"/>
    <n v="2871.54"/>
    <n v="0.2"/>
    <n v="536.24"/>
    <x v="0"/>
  </r>
  <r>
    <s v="b80bff3f-9e07-45ff-95c6-c31b4f347d02"/>
    <x v="76"/>
    <x v="1"/>
    <x v="23"/>
    <x v="11"/>
    <x v="2"/>
    <x v="1"/>
    <x v="1"/>
    <x v="2"/>
    <n v="9"/>
    <n v="451.19"/>
    <n v="4060.71"/>
    <n v="0"/>
    <n v="707.06"/>
    <x v="3"/>
  </r>
  <r>
    <s v="b2805f7a-a3f7-46ea-acc4-9e33d980ef45"/>
    <x v="234"/>
    <x v="1"/>
    <x v="22"/>
    <x v="10"/>
    <x v="1"/>
    <x v="2"/>
    <x v="0"/>
    <x v="10"/>
    <n v="10"/>
    <n v="400.48"/>
    <n v="4004.8"/>
    <n v="0"/>
    <n v="378.9"/>
    <x v="2"/>
  </r>
  <r>
    <s v="38a7476f-df94-44a6-bf21-6d9835e82707"/>
    <x v="102"/>
    <x v="0"/>
    <x v="9"/>
    <x v="6"/>
    <x v="1"/>
    <x v="0"/>
    <x v="2"/>
    <x v="3"/>
    <n v="2"/>
    <n v="87.65"/>
    <n v="175.3"/>
    <n v="0"/>
    <n v="40.93"/>
    <x v="3"/>
  </r>
  <r>
    <s v="91a91eff-3e4d-4e60-bb46-daaeb6d96acb"/>
    <x v="104"/>
    <x v="2"/>
    <x v="11"/>
    <x v="7"/>
    <x v="0"/>
    <x v="2"/>
    <x v="2"/>
    <x v="5"/>
    <n v="10"/>
    <n v="487.32"/>
    <n v="4873.2"/>
    <n v="0.15"/>
    <n v="301.82"/>
    <x v="0"/>
  </r>
  <r>
    <s v="a3491484-bb60-4f21-b4e6-b63e156e0120"/>
    <x v="235"/>
    <x v="3"/>
    <x v="17"/>
    <x v="7"/>
    <x v="0"/>
    <x v="2"/>
    <x v="2"/>
    <x v="9"/>
    <n v="10"/>
    <n v="774.66"/>
    <n v="7746.6"/>
    <n v="0"/>
    <n v="1838.21"/>
    <x v="1"/>
  </r>
  <r>
    <s v="b5647417-23ee-45ca-b60b-617ebdcbfb47"/>
    <x v="120"/>
    <x v="3"/>
    <x v="16"/>
    <x v="8"/>
    <x v="3"/>
    <x v="1"/>
    <x v="3"/>
    <x v="7"/>
    <n v="5"/>
    <n v="253.57"/>
    <n v="1267.8499999999999"/>
    <n v="0.05"/>
    <n v="80.36"/>
    <x v="3"/>
  </r>
  <r>
    <s v="5f7d1567-7343-443a-a5f5-87dcb06e5e5d"/>
    <x v="135"/>
    <x v="0"/>
    <x v="13"/>
    <x v="8"/>
    <x v="3"/>
    <x v="2"/>
    <x v="0"/>
    <x v="0"/>
    <n v="5"/>
    <n v="185.71"/>
    <n v="928.55"/>
    <n v="0"/>
    <n v="63.59"/>
    <x v="2"/>
  </r>
  <r>
    <s v="68db1465-5dc6-443b-a0dd-978c8cc845fb"/>
    <x v="103"/>
    <x v="1"/>
    <x v="4"/>
    <x v="3"/>
    <x v="2"/>
    <x v="2"/>
    <x v="2"/>
    <x v="5"/>
    <n v="8"/>
    <n v="536.44000000000005"/>
    <n v="4291.5200000000004"/>
    <n v="0.05"/>
    <n v="991.18"/>
    <x v="3"/>
  </r>
  <r>
    <s v="3ef902e2-9e28-42e1-ba32-1cc129e2f995"/>
    <x v="236"/>
    <x v="2"/>
    <x v="16"/>
    <x v="8"/>
    <x v="3"/>
    <x v="0"/>
    <x v="2"/>
    <x v="5"/>
    <n v="6"/>
    <n v="664.73"/>
    <n v="3988.38"/>
    <n v="0.1"/>
    <n v="189.66"/>
    <x v="2"/>
  </r>
  <r>
    <s v="bae924ef-f502-4c20-8778-7880f92dcce7"/>
    <x v="237"/>
    <x v="0"/>
    <x v="20"/>
    <x v="9"/>
    <x v="3"/>
    <x v="2"/>
    <x v="2"/>
    <x v="9"/>
    <n v="8"/>
    <n v="943.44"/>
    <n v="7547.52"/>
    <n v="0.05"/>
    <n v="1268.0999999999999"/>
    <x v="1"/>
  </r>
  <r>
    <s v="2296acb8-c176-46a0-81da-32e2237c3ed8"/>
    <x v="238"/>
    <x v="0"/>
    <x v="10"/>
    <x v="0"/>
    <x v="0"/>
    <x v="0"/>
    <x v="0"/>
    <x v="4"/>
    <n v="10"/>
    <n v="378.8"/>
    <n v="3788"/>
    <n v="0.1"/>
    <n v="313.48"/>
    <x v="2"/>
  </r>
  <r>
    <s v="e87447ce-7760-4c95-b185-48fa848ba62e"/>
    <x v="129"/>
    <x v="2"/>
    <x v="9"/>
    <x v="6"/>
    <x v="1"/>
    <x v="2"/>
    <x v="1"/>
    <x v="12"/>
    <n v="9"/>
    <n v="819.41"/>
    <n v="7374.69"/>
    <n v="0"/>
    <n v="1400.18"/>
    <x v="0"/>
  </r>
  <r>
    <s v="1ac14333-7486-483e-bddc-83100758e920"/>
    <x v="133"/>
    <x v="4"/>
    <x v="14"/>
    <x v="9"/>
    <x v="3"/>
    <x v="2"/>
    <x v="2"/>
    <x v="5"/>
    <n v="2"/>
    <n v="926.5"/>
    <n v="1853"/>
    <n v="0.15"/>
    <n v="213.7"/>
    <x v="0"/>
  </r>
  <r>
    <s v="e21612f6-43d1-4267-b582-8ab8c957f796"/>
    <x v="24"/>
    <x v="0"/>
    <x v="0"/>
    <x v="0"/>
    <x v="0"/>
    <x v="2"/>
    <x v="1"/>
    <x v="12"/>
    <n v="5"/>
    <n v="702.69"/>
    <n v="3513.45"/>
    <n v="0"/>
    <n v="875.1"/>
    <x v="3"/>
  </r>
  <r>
    <s v="adeda4cd-e303-4dd8-aac4-145fe6c3fb8b"/>
    <x v="239"/>
    <x v="2"/>
    <x v="1"/>
    <x v="1"/>
    <x v="1"/>
    <x v="2"/>
    <x v="0"/>
    <x v="4"/>
    <n v="8"/>
    <n v="504.35"/>
    <n v="4034.8"/>
    <n v="0"/>
    <n v="740.56"/>
    <x v="1"/>
  </r>
  <r>
    <s v="0eb4c1e1-8dd1-4590-ac58-29df11b9dec5"/>
    <x v="240"/>
    <x v="2"/>
    <x v="11"/>
    <x v="7"/>
    <x v="0"/>
    <x v="1"/>
    <x v="2"/>
    <x v="9"/>
    <n v="2"/>
    <n v="351.91"/>
    <n v="703.82"/>
    <n v="0.15"/>
    <n v="79.319999999999993"/>
    <x v="3"/>
  </r>
  <r>
    <s v="5720ef1e-a346-48dc-a6da-84f6f1f064d1"/>
    <x v="241"/>
    <x v="1"/>
    <x v="5"/>
    <x v="3"/>
    <x v="2"/>
    <x v="0"/>
    <x v="2"/>
    <x v="9"/>
    <n v="5"/>
    <n v="838.81"/>
    <n v="4194.05"/>
    <n v="0.15"/>
    <n v="658.3"/>
    <x v="0"/>
  </r>
  <r>
    <s v="6c4ad675-54de-4a64-949b-ed5d2d0a7ab7"/>
    <x v="242"/>
    <x v="3"/>
    <x v="22"/>
    <x v="10"/>
    <x v="1"/>
    <x v="2"/>
    <x v="0"/>
    <x v="1"/>
    <n v="6"/>
    <n v="172.07"/>
    <n v="1032.42"/>
    <n v="0.2"/>
    <n v="205.3"/>
    <x v="0"/>
  </r>
  <r>
    <s v="8f7d844d-91b4-4f98-baf6-82e4f1551017"/>
    <x v="75"/>
    <x v="2"/>
    <x v="13"/>
    <x v="8"/>
    <x v="3"/>
    <x v="0"/>
    <x v="1"/>
    <x v="12"/>
    <n v="3"/>
    <n v="939.51"/>
    <n v="2818.53"/>
    <n v="0.15"/>
    <n v="588.09"/>
    <x v="3"/>
  </r>
  <r>
    <s v="94668d5d-7c17-4f86-a81a-286310d4961a"/>
    <x v="205"/>
    <x v="0"/>
    <x v="21"/>
    <x v="11"/>
    <x v="2"/>
    <x v="1"/>
    <x v="1"/>
    <x v="2"/>
    <n v="3"/>
    <n v="505.25"/>
    <n v="1515.75"/>
    <n v="0.2"/>
    <n v="250.83"/>
    <x v="1"/>
  </r>
  <r>
    <s v="c61f7765-04fa-43f1-85ec-4453794d9ee9"/>
    <x v="139"/>
    <x v="2"/>
    <x v="17"/>
    <x v="7"/>
    <x v="0"/>
    <x v="1"/>
    <x v="3"/>
    <x v="8"/>
    <n v="7"/>
    <n v="13.52"/>
    <n v="94.64"/>
    <n v="0.2"/>
    <n v="6.1"/>
    <x v="1"/>
  </r>
  <r>
    <s v="9b3bb2a3-a56a-4bdc-96f5-fbba348d871f"/>
    <x v="243"/>
    <x v="0"/>
    <x v="8"/>
    <x v="1"/>
    <x v="1"/>
    <x v="0"/>
    <x v="0"/>
    <x v="1"/>
    <n v="3"/>
    <n v="241.24"/>
    <n v="723.72"/>
    <n v="0.05"/>
    <n v="75.209999999999994"/>
    <x v="0"/>
  </r>
  <r>
    <s v="7e70902f-8dda-4483-90dc-e4f3db18a194"/>
    <x v="244"/>
    <x v="1"/>
    <x v="20"/>
    <x v="9"/>
    <x v="3"/>
    <x v="1"/>
    <x v="1"/>
    <x v="12"/>
    <n v="1"/>
    <n v="639.11"/>
    <n v="639.11"/>
    <n v="0.2"/>
    <n v="114.22"/>
    <x v="2"/>
  </r>
  <r>
    <s v="73226bbb-531d-4849-91c3-fd33ae8e6143"/>
    <x v="59"/>
    <x v="1"/>
    <x v="22"/>
    <x v="10"/>
    <x v="1"/>
    <x v="2"/>
    <x v="0"/>
    <x v="1"/>
    <n v="2"/>
    <n v="79.23"/>
    <n v="158.46"/>
    <n v="0.1"/>
    <n v="33.159999999999997"/>
    <x v="2"/>
  </r>
  <r>
    <s v="07082c8d-c449-44de-b1ac-f3207659aa93"/>
    <x v="109"/>
    <x v="0"/>
    <x v="15"/>
    <x v="6"/>
    <x v="1"/>
    <x v="1"/>
    <x v="1"/>
    <x v="2"/>
    <n v="2"/>
    <n v="211.88"/>
    <n v="423.76"/>
    <n v="0.15"/>
    <n v="45.04"/>
    <x v="3"/>
  </r>
  <r>
    <s v="76bcf750-cb2e-4f72-99f9-6c7a1f788b02"/>
    <x v="219"/>
    <x v="1"/>
    <x v="16"/>
    <x v="8"/>
    <x v="3"/>
    <x v="1"/>
    <x v="3"/>
    <x v="8"/>
    <n v="10"/>
    <n v="631.95000000000005"/>
    <n v="6319.5"/>
    <n v="0"/>
    <n v="464.11"/>
    <x v="2"/>
  </r>
  <r>
    <s v="3c25357d-4c89-4824-bf9d-8cd31c616e0b"/>
    <x v="136"/>
    <x v="3"/>
    <x v="6"/>
    <x v="4"/>
    <x v="3"/>
    <x v="0"/>
    <x v="3"/>
    <x v="7"/>
    <n v="2"/>
    <n v="194.46"/>
    <n v="388.92"/>
    <n v="0"/>
    <n v="61.13"/>
    <x v="0"/>
  </r>
  <r>
    <s v="b8d93e4f-6c68-48ef-836c-576236bf06e7"/>
    <x v="245"/>
    <x v="2"/>
    <x v="4"/>
    <x v="3"/>
    <x v="2"/>
    <x v="2"/>
    <x v="1"/>
    <x v="6"/>
    <n v="4"/>
    <n v="85.28"/>
    <n v="341.12"/>
    <n v="0.05"/>
    <n v="33.549999999999997"/>
    <x v="2"/>
  </r>
  <r>
    <s v="54e47738-9fd7-489f-9031-c29c75c6181e"/>
    <x v="157"/>
    <x v="0"/>
    <x v="9"/>
    <x v="6"/>
    <x v="1"/>
    <x v="0"/>
    <x v="2"/>
    <x v="9"/>
    <n v="7"/>
    <n v="513.63"/>
    <n v="3595.41"/>
    <n v="0.15"/>
    <n v="716.56"/>
    <x v="3"/>
  </r>
  <r>
    <s v="a54e5ca0-e9fb-4430-9904-42126ad13fb0"/>
    <x v="246"/>
    <x v="0"/>
    <x v="0"/>
    <x v="0"/>
    <x v="0"/>
    <x v="1"/>
    <x v="3"/>
    <x v="11"/>
    <n v="3"/>
    <n v="794.51"/>
    <n v="2383.5300000000002"/>
    <n v="0.15"/>
    <n v="276.94"/>
    <x v="0"/>
  </r>
  <r>
    <s v="db189842-bb8c-4c43-a757-e9cb05cbcb70"/>
    <x v="0"/>
    <x v="4"/>
    <x v="2"/>
    <x v="2"/>
    <x v="2"/>
    <x v="2"/>
    <x v="2"/>
    <x v="5"/>
    <n v="4"/>
    <n v="568.01"/>
    <n v="2272.04"/>
    <n v="0.1"/>
    <n v="469.45"/>
    <x v="3"/>
  </r>
  <r>
    <s v="c8ac8156-3412-4981-a3fc-e9b92ff073dc"/>
    <x v="194"/>
    <x v="4"/>
    <x v="12"/>
    <x v="5"/>
    <x v="0"/>
    <x v="2"/>
    <x v="0"/>
    <x v="1"/>
    <n v="10"/>
    <n v="827.03"/>
    <n v="8270.2999999999993"/>
    <n v="0.2"/>
    <n v="796.93"/>
    <x v="0"/>
  </r>
  <r>
    <s v="1a48ca54-aadc-4616-8527-e73c7a91e042"/>
    <x v="137"/>
    <x v="3"/>
    <x v="11"/>
    <x v="7"/>
    <x v="0"/>
    <x v="2"/>
    <x v="0"/>
    <x v="4"/>
    <n v="2"/>
    <n v="216.75"/>
    <n v="433.5"/>
    <n v="0.1"/>
    <n v="48.53"/>
    <x v="2"/>
  </r>
  <r>
    <s v="bf6bd0b3-ceaf-4b07-b207-7cc66addeb58"/>
    <x v="247"/>
    <x v="1"/>
    <x v="15"/>
    <x v="6"/>
    <x v="1"/>
    <x v="1"/>
    <x v="3"/>
    <x v="11"/>
    <n v="10"/>
    <n v="795.65"/>
    <n v="7956.5"/>
    <n v="0.05"/>
    <n v="1226.99"/>
    <x v="3"/>
  </r>
  <r>
    <s v="ab5f2433-d334-416a-8cfb-ec6c8169f587"/>
    <x v="140"/>
    <x v="2"/>
    <x v="10"/>
    <x v="0"/>
    <x v="0"/>
    <x v="0"/>
    <x v="2"/>
    <x v="5"/>
    <n v="10"/>
    <n v="946.38"/>
    <n v="9463.7999999999993"/>
    <n v="0"/>
    <n v="1559.54"/>
    <x v="0"/>
  </r>
  <r>
    <s v="fe230594-b50e-4f22-ac72-733d38c1c7eb"/>
    <x v="86"/>
    <x v="3"/>
    <x v="14"/>
    <x v="9"/>
    <x v="3"/>
    <x v="1"/>
    <x v="2"/>
    <x v="3"/>
    <n v="8"/>
    <n v="499.65"/>
    <n v="3997.2"/>
    <n v="0.1"/>
    <n v="482.95"/>
    <x v="1"/>
  </r>
  <r>
    <s v="4f7782e7-8b03-4325-9b41-feba5688c920"/>
    <x v="248"/>
    <x v="4"/>
    <x v="0"/>
    <x v="0"/>
    <x v="0"/>
    <x v="2"/>
    <x v="0"/>
    <x v="1"/>
    <n v="10"/>
    <n v="23.23"/>
    <n v="232.3"/>
    <n v="0"/>
    <n v="41.52"/>
    <x v="2"/>
  </r>
  <r>
    <s v="505bb202-bd95-4433-bfd0-5af7c7869d1d"/>
    <x v="249"/>
    <x v="2"/>
    <x v="5"/>
    <x v="3"/>
    <x v="2"/>
    <x v="0"/>
    <x v="0"/>
    <x v="1"/>
    <n v="6"/>
    <n v="645.49"/>
    <n v="3872.94"/>
    <n v="0"/>
    <n v="557.62"/>
    <x v="1"/>
  </r>
  <r>
    <s v="39d0a348-5cbf-4771-a1df-6ef48d22840e"/>
    <x v="200"/>
    <x v="1"/>
    <x v="3"/>
    <x v="2"/>
    <x v="2"/>
    <x v="2"/>
    <x v="2"/>
    <x v="3"/>
    <n v="9"/>
    <n v="775.06"/>
    <n v="6975.54"/>
    <n v="0.15"/>
    <n v="1022.58"/>
    <x v="1"/>
  </r>
  <r>
    <s v="689699ef-502c-4e74-8b9d-b3005e115134"/>
    <x v="250"/>
    <x v="1"/>
    <x v="20"/>
    <x v="9"/>
    <x v="3"/>
    <x v="0"/>
    <x v="2"/>
    <x v="5"/>
    <n v="1"/>
    <n v="225.57"/>
    <n v="225.57"/>
    <n v="0"/>
    <n v="17.54"/>
    <x v="1"/>
  </r>
  <r>
    <s v="9d1312ef-c342-4e1e-b9f8-38cb12f9e479"/>
    <x v="251"/>
    <x v="2"/>
    <x v="16"/>
    <x v="8"/>
    <x v="3"/>
    <x v="1"/>
    <x v="3"/>
    <x v="8"/>
    <n v="9"/>
    <n v="989.59"/>
    <n v="8906.31"/>
    <n v="0"/>
    <n v="907.89"/>
    <x v="0"/>
  </r>
  <r>
    <s v="11cf1545-ec94-41dd-8473-9e2676ee7ec8"/>
    <x v="217"/>
    <x v="1"/>
    <x v="15"/>
    <x v="6"/>
    <x v="1"/>
    <x v="2"/>
    <x v="0"/>
    <x v="4"/>
    <n v="5"/>
    <n v="699.27"/>
    <n v="3496.35"/>
    <n v="0.05"/>
    <n v="553.66999999999996"/>
    <x v="3"/>
  </r>
  <r>
    <s v="280ae7a9-4697-4807-bce3-bc35bb5d4d4c"/>
    <x v="213"/>
    <x v="0"/>
    <x v="5"/>
    <x v="3"/>
    <x v="2"/>
    <x v="0"/>
    <x v="0"/>
    <x v="10"/>
    <n v="9"/>
    <n v="528.53"/>
    <n v="4756.7700000000004"/>
    <n v="0.2"/>
    <n v="554.01"/>
    <x v="1"/>
  </r>
  <r>
    <s v="9758e9eb-de88-4379-aad8-b1e8246219bc"/>
    <x v="196"/>
    <x v="3"/>
    <x v="23"/>
    <x v="11"/>
    <x v="2"/>
    <x v="1"/>
    <x v="2"/>
    <x v="5"/>
    <n v="5"/>
    <n v="711.96"/>
    <n v="3559.8"/>
    <n v="0.1"/>
    <n v="518.07000000000005"/>
    <x v="0"/>
  </r>
  <r>
    <s v="47d8811b-d0dd-47a3-bab4-64e02074865b"/>
    <x v="99"/>
    <x v="2"/>
    <x v="10"/>
    <x v="0"/>
    <x v="0"/>
    <x v="2"/>
    <x v="1"/>
    <x v="12"/>
    <n v="4"/>
    <n v="15.1"/>
    <n v="60.4"/>
    <n v="0.05"/>
    <n v="8.24"/>
    <x v="1"/>
  </r>
  <r>
    <s v="7e83c0aa-e044-424f-a06c-f5644b3a1aa9"/>
    <x v="222"/>
    <x v="3"/>
    <x v="13"/>
    <x v="8"/>
    <x v="3"/>
    <x v="0"/>
    <x v="2"/>
    <x v="9"/>
    <n v="5"/>
    <n v="709.1"/>
    <n v="3545.5"/>
    <n v="0.05"/>
    <n v="739.53"/>
    <x v="0"/>
  </r>
  <r>
    <s v="acdb15f5-a975-4c9f-95d1-60472dcb4995"/>
    <x v="131"/>
    <x v="0"/>
    <x v="11"/>
    <x v="7"/>
    <x v="0"/>
    <x v="0"/>
    <x v="0"/>
    <x v="10"/>
    <n v="7"/>
    <n v="189.58"/>
    <n v="1327.06"/>
    <n v="0.1"/>
    <n v="160.78"/>
    <x v="2"/>
  </r>
  <r>
    <s v="64d84de5-271e-4b6a-9e5c-40555bdb5317"/>
    <x v="252"/>
    <x v="2"/>
    <x v="18"/>
    <x v="10"/>
    <x v="1"/>
    <x v="0"/>
    <x v="3"/>
    <x v="8"/>
    <n v="4"/>
    <n v="18.55"/>
    <n v="74.2"/>
    <n v="0.15"/>
    <n v="5.51"/>
    <x v="1"/>
  </r>
  <r>
    <s v="41c97939-ccc4-4ffb-b061-b3c651171278"/>
    <x v="64"/>
    <x v="2"/>
    <x v="14"/>
    <x v="9"/>
    <x v="3"/>
    <x v="0"/>
    <x v="0"/>
    <x v="1"/>
    <n v="6"/>
    <n v="432.61"/>
    <n v="2595.66"/>
    <n v="0.05"/>
    <n v="319.05"/>
    <x v="1"/>
  </r>
  <r>
    <s v="efc91595-97ea-4324-a332-bf8cc0eb7436"/>
    <x v="200"/>
    <x v="1"/>
    <x v="5"/>
    <x v="3"/>
    <x v="2"/>
    <x v="2"/>
    <x v="2"/>
    <x v="3"/>
    <n v="1"/>
    <n v="649.32000000000005"/>
    <n v="649.32000000000005"/>
    <n v="0.15"/>
    <n v="49"/>
    <x v="1"/>
  </r>
  <r>
    <s v="29f3e1f0-6ca5-4135-ac21-0deaf043b343"/>
    <x v="253"/>
    <x v="4"/>
    <x v="0"/>
    <x v="0"/>
    <x v="0"/>
    <x v="0"/>
    <x v="1"/>
    <x v="2"/>
    <n v="9"/>
    <n v="434.7"/>
    <n v="3912.3"/>
    <n v="0"/>
    <n v="701.35"/>
    <x v="3"/>
  </r>
  <r>
    <s v="fde5bb15-4f09-46f6-8d3e-6ea771bc7772"/>
    <x v="137"/>
    <x v="4"/>
    <x v="22"/>
    <x v="10"/>
    <x v="1"/>
    <x v="2"/>
    <x v="0"/>
    <x v="10"/>
    <n v="2"/>
    <n v="533.07000000000005"/>
    <n v="1066.1400000000001"/>
    <n v="0.1"/>
    <n v="91.44"/>
    <x v="2"/>
  </r>
  <r>
    <s v="691dffe5-1214-458e-8608-e78dc08d0a95"/>
    <x v="186"/>
    <x v="1"/>
    <x v="16"/>
    <x v="8"/>
    <x v="3"/>
    <x v="2"/>
    <x v="2"/>
    <x v="5"/>
    <n v="3"/>
    <n v="786.16"/>
    <n v="2358.48"/>
    <n v="0.1"/>
    <n v="376.51"/>
    <x v="2"/>
  </r>
  <r>
    <s v="3aafef9d-fc3f-4d59-b4c6-c5f39aaf615a"/>
    <x v="254"/>
    <x v="4"/>
    <x v="22"/>
    <x v="10"/>
    <x v="1"/>
    <x v="0"/>
    <x v="3"/>
    <x v="8"/>
    <n v="5"/>
    <n v="852.86"/>
    <n v="4264.3"/>
    <n v="0.05"/>
    <n v="340.48"/>
    <x v="3"/>
  </r>
  <r>
    <s v="208b14ef-d556-4e47-aa84-0088ec6f5e31"/>
    <x v="251"/>
    <x v="3"/>
    <x v="11"/>
    <x v="7"/>
    <x v="0"/>
    <x v="1"/>
    <x v="0"/>
    <x v="10"/>
    <n v="7"/>
    <n v="335.39"/>
    <n v="2347.73"/>
    <n v="0.05"/>
    <n v="546.15"/>
    <x v="3"/>
  </r>
  <r>
    <s v="358c502f-6570-4d59-b32b-43896483ade7"/>
    <x v="255"/>
    <x v="0"/>
    <x v="1"/>
    <x v="1"/>
    <x v="1"/>
    <x v="0"/>
    <x v="0"/>
    <x v="10"/>
    <n v="8"/>
    <n v="873.47"/>
    <n v="6987.76"/>
    <n v="0.15"/>
    <n v="426.92"/>
    <x v="1"/>
  </r>
  <r>
    <s v="f7b9fae8-06c9-4aff-9bd7-e5cbb9ccb9c7"/>
    <x v="183"/>
    <x v="3"/>
    <x v="10"/>
    <x v="0"/>
    <x v="0"/>
    <x v="1"/>
    <x v="0"/>
    <x v="0"/>
    <n v="5"/>
    <n v="804.28"/>
    <n v="4021.4"/>
    <n v="0.1"/>
    <n v="508.59"/>
    <x v="1"/>
  </r>
  <r>
    <s v="ba661ddc-bd29-47fc-8b79-7fd4fd488404"/>
    <x v="256"/>
    <x v="1"/>
    <x v="23"/>
    <x v="11"/>
    <x v="2"/>
    <x v="2"/>
    <x v="3"/>
    <x v="8"/>
    <n v="1"/>
    <n v="828.09"/>
    <n v="828.09"/>
    <n v="0.1"/>
    <n v="143.12"/>
    <x v="3"/>
  </r>
  <r>
    <s v="7e37bd30-f791-40ae-8330-25bd3ee76c00"/>
    <x v="257"/>
    <x v="3"/>
    <x v="21"/>
    <x v="11"/>
    <x v="2"/>
    <x v="2"/>
    <x v="2"/>
    <x v="9"/>
    <n v="3"/>
    <n v="358.48"/>
    <n v="1075.44"/>
    <n v="0"/>
    <n v="106.33"/>
    <x v="2"/>
  </r>
  <r>
    <s v="7029da5c-bc7d-4314-abc3-dbc0cbe7da6e"/>
    <x v="258"/>
    <x v="3"/>
    <x v="10"/>
    <x v="0"/>
    <x v="0"/>
    <x v="2"/>
    <x v="2"/>
    <x v="5"/>
    <n v="5"/>
    <n v="877.39"/>
    <n v="4386.95"/>
    <n v="0.2"/>
    <n v="806.65"/>
    <x v="1"/>
  </r>
  <r>
    <s v="bcaf081a-77d1-49c9-8ca8-c4f39970b421"/>
    <x v="180"/>
    <x v="1"/>
    <x v="11"/>
    <x v="7"/>
    <x v="0"/>
    <x v="2"/>
    <x v="2"/>
    <x v="3"/>
    <n v="5"/>
    <n v="310.7"/>
    <n v="1553.5"/>
    <n v="0"/>
    <n v="257.73"/>
    <x v="3"/>
  </r>
  <r>
    <s v="b82c9acc-b72c-4d2e-bf9d-f0a066abe401"/>
    <x v="209"/>
    <x v="4"/>
    <x v="9"/>
    <x v="6"/>
    <x v="1"/>
    <x v="2"/>
    <x v="3"/>
    <x v="8"/>
    <n v="2"/>
    <n v="969.53"/>
    <n v="1939.06"/>
    <n v="0.15"/>
    <n v="388.06"/>
    <x v="0"/>
  </r>
  <r>
    <s v="c58ac41e-23fc-447a-81be-e6d84691d535"/>
    <x v="215"/>
    <x v="4"/>
    <x v="0"/>
    <x v="0"/>
    <x v="0"/>
    <x v="0"/>
    <x v="1"/>
    <x v="2"/>
    <n v="5"/>
    <n v="487.85"/>
    <n v="2439.25"/>
    <n v="0"/>
    <n v="512.14"/>
    <x v="2"/>
  </r>
  <r>
    <s v="a38616aa-ae4f-436e-8e42-ef4a980061b3"/>
    <x v="138"/>
    <x v="4"/>
    <x v="18"/>
    <x v="10"/>
    <x v="1"/>
    <x v="1"/>
    <x v="0"/>
    <x v="1"/>
    <n v="8"/>
    <n v="307.20999999999998"/>
    <n v="2457.6799999999998"/>
    <n v="0.15"/>
    <n v="251.63"/>
    <x v="1"/>
  </r>
  <r>
    <s v="1bdafb8b-ae2c-415f-a0d2-8ffef9e624a9"/>
    <x v="63"/>
    <x v="1"/>
    <x v="5"/>
    <x v="3"/>
    <x v="2"/>
    <x v="0"/>
    <x v="0"/>
    <x v="4"/>
    <n v="2"/>
    <n v="713.77"/>
    <n v="1427.54"/>
    <n v="0.05"/>
    <n v="337.93"/>
    <x v="2"/>
  </r>
  <r>
    <s v="09c694e6-16c5-425b-ab7e-d8abfaaa6284"/>
    <x v="259"/>
    <x v="2"/>
    <x v="15"/>
    <x v="6"/>
    <x v="1"/>
    <x v="2"/>
    <x v="1"/>
    <x v="2"/>
    <n v="4"/>
    <n v="812.09"/>
    <n v="3248.36"/>
    <n v="0.15"/>
    <n v="371.4"/>
    <x v="0"/>
  </r>
  <r>
    <s v="da44e216-098d-434c-b678-ba69a738d8a8"/>
    <x v="109"/>
    <x v="3"/>
    <x v="23"/>
    <x v="11"/>
    <x v="2"/>
    <x v="0"/>
    <x v="0"/>
    <x v="0"/>
    <n v="6"/>
    <n v="804.77"/>
    <n v="4828.62"/>
    <n v="0.05"/>
    <n v="856.26"/>
    <x v="3"/>
  </r>
  <r>
    <s v="5cc2874f-3dbc-4944-8552-6c34bc9982a7"/>
    <x v="260"/>
    <x v="1"/>
    <x v="17"/>
    <x v="7"/>
    <x v="0"/>
    <x v="2"/>
    <x v="1"/>
    <x v="2"/>
    <n v="5"/>
    <n v="567.53"/>
    <n v="2837.65"/>
    <n v="0.15"/>
    <n v="383.91"/>
    <x v="1"/>
  </r>
  <r>
    <s v="4e33f761-f9b9-4b65-8348-55e71796f519"/>
    <x v="77"/>
    <x v="1"/>
    <x v="18"/>
    <x v="10"/>
    <x v="1"/>
    <x v="0"/>
    <x v="2"/>
    <x v="5"/>
    <n v="8"/>
    <n v="355.49"/>
    <n v="2843.92"/>
    <n v="0.15"/>
    <n v="324.17"/>
    <x v="0"/>
  </r>
  <r>
    <s v="a471797a-fcb5-4c3d-84e4-79a80526be2a"/>
    <x v="166"/>
    <x v="0"/>
    <x v="8"/>
    <x v="1"/>
    <x v="1"/>
    <x v="1"/>
    <x v="2"/>
    <x v="5"/>
    <n v="10"/>
    <n v="907.04"/>
    <n v="9070.4"/>
    <n v="0.05"/>
    <n v="1430.96"/>
    <x v="2"/>
  </r>
  <r>
    <s v="827d2eb9-973f-4d46-b02e-8f1bc9fcd5da"/>
    <x v="101"/>
    <x v="3"/>
    <x v="5"/>
    <x v="3"/>
    <x v="2"/>
    <x v="2"/>
    <x v="3"/>
    <x v="11"/>
    <n v="8"/>
    <n v="807.87"/>
    <n v="6462.96"/>
    <n v="0.2"/>
    <n v="734.42"/>
    <x v="1"/>
  </r>
  <r>
    <s v="c465e8d6-4273-4b2e-90f4-cf71f2fdf84f"/>
    <x v="95"/>
    <x v="1"/>
    <x v="15"/>
    <x v="6"/>
    <x v="1"/>
    <x v="0"/>
    <x v="0"/>
    <x v="4"/>
    <n v="5"/>
    <n v="566.30999999999995"/>
    <n v="2831.55"/>
    <n v="0.1"/>
    <n v="567.94000000000005"/>
    <x v="1"/>
  </r>
  <r>
    <s v="e1132b26-ac14-475a-ae80-b1967a76adff"/>
    <x v="261"/>
    <x v="4"/>
    <x v="10"/>
    <x v="0"/>
    <x v="0"/>
    <x v="0"/>
    <x v="0"/>
    <x v="4"/>
    <n v="3"/>
    <n v="225.1"/>
    <n v="675.3"/>
    <n v="0.05"/>
    <n v="70.680000000000007"/>
    <x v="3"/>
  </r>
  <r>
    <s v="e67bc32e-5b8c-409e-a11a-49202e149def"/>
    <x v="34"/>
    <x v="2"/>
    <x v="15"/>
    <x v="6"/>
    <x v="1"/>
    <x v="1"/>
    <x v="3"/>
    <x v="8"/>
    <n v="3"/>
    <n v="604.58000000000004"/>
    <n v="1813.74"/>
    <n v="0"/>
    <n v="279.25"/>
    <x v="1"/>
  </r>
  <r>
    <s v="89aba6ec-e7d4-47a7-af83-fb6222d1cbbf"/>
    <x v="175"/>
    <x v="4"/>
    <x v="15"/>
    <x v="6"/>
    <x v="1"/>
    <x v="2"/>
    <x v="1"/>
    <x v="6"/>
    <n v="1"/>
    <n v="926.19"/>
    <n v="926.19"/>
    <n v="0.1"/>
    <n v="109.12"/>
    <x v="3"/>
  </r>
  <r>
    <s v="ee39616b-c0dd-4c5d-aeb4-a21b1f1fe8be"/>
    <x v="214"/>
    <x v="4"/>
    <x v="23"/>
    <x v="11"/>
    <x v="2"/>
    <x v="1"/>
    <x v="1"/>
    <x v="6"/>
    <n v="3"/>
    <n v="636.91999999999996"/>
    <n v="1910.76"/>
    <n v="0.05"/>
    <n v="142.19999999999999"/>
    <x v="3"/>
  </r>
  <r>
    <s v="26c81943-9b26-4961-9a4d-d626c168fa10"/>
    <x v="262"/>
    <x v="1"/>
    <x v="11"/>
    <x v="7"/>
    <x v="0"/>
    <x v="2"/>
    <x v="1"/>
    <x v="6"/>
    <n v="10"/>
    <n v="493.98"/>
    <n v="4939.8"/>
    <n v="0.1"/>
    <n v="570.12"/>
    <x v="1"/>
  </r>
  <r>
    <s v="fa9872f8-7e9d-4425-bec7-3f3dca96cbcc"/>
    <x v="68"/>
    <x v="2"/>
    <x v="20"/>
    <x v="9"/>
    <x v="3"/>
    <x v="2"/>
    <x v="0"/>
    <x v="1"/>
    <n v="2"/>
    <n v="565.08000000000004"/>
    <n v="1130.1600000000001"/>
    <n v="0"/>
    <n v="187.73"/>
    <x v="3"/>
  </r>
  <r>
    <s v="b7695f24-d040-4aa0-b1d2-8f6a4a5f2f6e"/>
    <x v="263"/>
    <x v="0"/>
    <x v="15"/>
    <x v="6"/>
    <x v="1"/>
    <x v="0"/>
    <x v="0"/>
    <x v="1"/>
    <n v="5"/>
    <n v="11.1"/>
    <n v="55.5"/>
    <n v="0.05"/>
    <n v="6.41"/>
    <x v="3"/>
  </r>
  <r>
    <s v="79e2439d-8090-4571-92f0-f0b75c4ea035"/>
    <x v="220"/>
    <x v="3"/>
    <x v="6"/>
    <x v="4"/>
    <x v="3"/>
    <x v="0"/>
    <x v="1"/>
    <x v="2"/>
    <n v="6"/>
    <n v="656.62"/>
    <n v="3939.72"/>
    <n v="0.2"/>
    <n v="371.46"/>
    <x v="2"/>
  </r>
  <r>
    <s v="54ef1f0a-cc1f-4140-867c-3828ca7a5758"/>
    <x v="91"/>
    <x v="0"/>
    <x v="2"/>
    <x v="2"/>
    <x v="2"/>
    <x v="2"/>
    <x v="1"/>
    <x v="2"/>
    <n v="10"/>
    <n v="659.65"/>
    <n v="6596.5"/>
    <n v="0.2"/>
    <n v="1011.64"/>
    <x v="3"/>
  </r>
  <r>
    <s v="51ef7865-14b9-4393-b3b8-9b0869f864db"/>
    <x v="235"/>
    <x v="4"/>
    <x v="23"/>
    <x v="11"/>
    <x v="2"/>
    <x v="0"/>
    <x v="3"/>
    <x v="11"/>
    <n v="2"/>
    <n v="46.84"/>
    <n v="93.68"/>
    <n v="0.05"/>
    <n v="8.57"/>
    <x v="3"/>
  </r>
  <r>
    <s v="c91b30e8-e013-4b82-ada7-e1c3f7a6a2f8"/>
    <x v="67"/>
    <x v="3"/>
    <x v="20"/>
    <x v="9"/>
    <x v="3"/>
    <x v="1"/>
    <x v="0"/>
    <x v="1"/>
    <n v="7"/>
    <n v="756.3"/>
    <n v="5294.1"/>
    <n v="0.15"/>
    <n v="1055.1300000000001"/>
    <x v="2"/>
  </r>
  <r>
    <s v="53d53ec6-95a3-4dae-ab42-32969ea1ce69"/>
    <x v="204"/>
    <x v="0"/>
    <x v="22"/>
    <x v="10"/>
    <x v="1"/>
    <x v="2"/>
    <x v="0"/>
    <x v="0"/>
    <n v="3"/>
    <n v="322.52"/>
    <n v="967.56"/>
    <n v="0.15"/>
    <n v="103.24"/>
    <x v="1"/>
  </r>
  <r>
    <s v="7ddf409c-9c77-4a6f-8667-6e5aadaf7594"/>
    <x v="264"/>
    <x v="1"/>
    <x v="3"/>
    <x v="2"/>
    <x v="2"/>
    <x v="1"/>
    <x v="1"/>
    <x v="6"/>
    <n v="3"/>
    <n v="435.19"/>
    <n v="1305.57"/>
    <n v="0.2"/>
    <n v="221.15"/>
    <x v="2"/>
  </r>
  <r>
    <s v="cf63a112-0443-495e-b68b-20c0f520cbba"/>
    <x v="203"/>
    <x v="3"/>
    <x v="8"/>
    <x v="1"/>
    <x v="1"/>
    <x v="1"/>
    <x v="1"/>
    <x v="6"/>
    <n v="1"/>
    <n v="360.84"/>
    <n v="360.84"/>
    <n v="0.15"/>
    <n v="50.2"/>
    <x v="2"/>
  </r>
  <r>
    <s v="0448f447-5d5b-41c0-9299-51a8f127d9a7"/>
    <x v="31"/>
    <x v="3"/>
    <x v="0"/>
    <x v="0"/>
    <x v="0"/>
    <x v="1"/>
    <x v="0"/>
    <x v="0"/>
    <n v="9"/>
    <n v="353.4"/>
    <n v="3180.6"/>
    <n v="0.2"/>
    <n v="585.11"/>
    <x v="3"/>
  </r>
  <r>
    <s v="9609c615-0d3e-4596-a76a-d081ef467e70"/>
    <x v="265"/>
    <x v="2"/>
    <x v="14"/>
    <x v="9"/>
    <x v="3"/>
    <x v="0"/>
    <x v="1"/>
    <x v="6"/>
    <n v="3"/>
    <n v="782.82"/>
    <n v="2348.46"/>
    <n v="0.1"/>
    <n v="148.34"/>
    <x v="1"/>
  </r>
  <r>
    <s v="f743155d-aa2f-4d3e-8987-e1cc8905c8a1"/>
    <x v="186"/>
    <x v="2"/>
    <x v="1"/>
    <x v="1"/>
    <x v="1"/>
    <x v="1"/>
    <x v="2"/>
    <x v="9"/>
    <n v="5"/>
    <n v="391.65"/>
    <n v="1958.25"/>
    <n v="0.1"/>
    <n v="112.07"/>
    <x v="0"/>
  </r>
  <r>
    <s v="4ed72331-8336-40cd-84ab-1cdc4a8a7cc0"/>
    <x v="266"/>
    <x v="4"/>
    <x v="8"/>
    <x v="1"/>
    <x v="1"/>
    <x v="0"/>
    <x v="1"/>
    <x v="2"/>
    <n v="7"/>
    <n v="619.41"/>
    <n v="4335.87"/>
    <n v="0.2"/>
    <n v="657.33"/>
    <x v="0"/>
  </r>
  <r>
    <s v="4a63fd70-a843-400b-8350-44e6dea30d62"/>
    <x v="267"/>
    <x v="2"/>
    <x v="21"/>
    <x v="11"/>
    <x v="2"/>
    <x v="2"/>
    <x v="0"/>
    <x v="1"/>
    <n v="5"/>
    <n v="202.11"/>
    <n v="1010.55"/>
    <n v="0"/>
    <n v="78.680000000000007"/>
    <x v="3"/>
  </r>
  <r>
    <s v="19dd5136-4ec1-46dd-8b3d-329d7231fe67"/>
    <x v="268"/>
    <x v="2"/>
    <x v="18"/>
    <x v="10"/>
    <x v="1"/>
    <x v="0"/>
    <x v="3"/>
    <x v="8"/>
    <n v="6"/>
    <n v="981.09"/>
    <n v="5886.54"/>
    <n v="0.15"/>
    <n v="848.75"/>
    <x v="1"/>
  </r>
  <r>
    <s v="c432c2b8-1ddf-49e6-95cc-8e76e555be99"/>
    <x v="189"/>
    <x v="2"/>
    <x v="17"/>
    <x v="7"/>
    <x v="0"/>
    <x v="1"/>
    <x v="0"/>
    <x v="1"/>
    <n v="9"/>
    <n v="226.79"/>
    <n v="2041.11"/>
    <n v="0.1"/>
    <n v="250.39"/>
    <x v="3"/>
  </r>
  <r>
    <s v="80ce44f9-1b24-4fa7-96dc-3c5f10763991"/>
    <x v="42"/>
    <x v="3"/>
    <x v="22"/>
    <x v="10"/>
    <x v="1"/>
    <x v="0"/>
    <x v="3"/>
    <x v="11"/>
    <n v="1"/>
    <n v="553.39"/>
    <n v="553.39"/>
    <n v="0"/>
    <n v="70.52"/>
    <x v="3"/>
  </r>
  <r>
    <s v="a5d4e198-9b55-41ae-808c-b08ec4b5c4d8"/>
    <x v="269"/>
    <x v="4"/>
    <x v="11"/>
    <x v="7"/>
    <x v="0"/>
    <x v="1"/>
    <x v="2"/>
    <x v="3"/>
    <n v="8"/>
    <n v="119.76"/>
    <n v="958.08"/>
    <n v="0.2"/>
    <n v="188.94"/>
    <x v="1"/>
  </r>
  <r>
    <s v="a5a08952-c6fa-4837-82ea-2a1980754318"/>
    <x v="130"/>
    <x v="2"/>
    <x v="11"/>
    <x v="7"/>
    <x v="0"/>
    <x v="1"/>
    <x v="3"/>
    <x v="7"/>
    <n v="2"/>
    <n v="589.44000000000005"/>
    <n v="1178.8800000000001"/>
    <n v="0.05"/>
    <n v="148.52000000000001"/>
    <x v="2"/>
  </r>
  <r>
    <s v="24ea357d-9d10-456e-9607-cf02570780ab"/>
    <x v="137"/>
    <x v="2"/>
    <x v="7"/>
    <x v="5"/>
    <x v="0"/>
    <x v="1"/>
    <x v="0"/>
    <x v="4"/>
    <n v="3"/>
    <n v="284.02999999999997"/>
    <n v="852.09"/>
    <n v="0.1"/>
    <n v="91.97"/>
    <x v="3"/>
  </r>
  <r>
    <s v="786c408b-bc5a-4eec-8826-f124a2943830"/>
    <x v="270"/>
    <x v="0"/>
    <x v="0"/>
    <x v="0"/>
    <x v="0"/>
    <x v="0"/>
    <x v="1"/>
    <x v="2"/>
    <n v="2"/>
    <n v="78.23"/>
    <n v="156.46"/>
    <n v="0.2"/>
    <n v="11.41"/>
    <x v="1"/>
  </r>
  <r>
    <s v="6b913e67-c0a9-4ee1-9e54-bcbdd30cfc19"/>
    <x v="271"/>
    <x v="1"/>
    <x v="19"/>
    <x v="4"/>
    <x v="3"/>
    <x v="0"/>
    <x v="3"/>
    <x v="11"/>
    <n v="4"/>
    <n v="527.79"/>
    <n v="2111.16"/>
    <n v="0.1"/>
    <n v="216.17"/>
    <x v="0"/>
  </r>
  <r>
    <s v="7bbbda89-ee77-43d8-9957-b9495af13db5"/>
    <x v="272"/>
    <x v="1"/>
    <x v="3"/>
    <x v="2"/>
    <x v="2"/>
    <x v="1"/>
    <x v="0"/>
    <x v="4"/>
    <n v="3"/>
    <n v="841.74"/>
    <n v="2525.2199999999998"/>
    <n v="0.2"/>
    <n v="194.15"/>
    <x v="2"/>
  </r>
  <r>
    <s v="72cdac67-4f2d-491d-9684-70093b92f687"/>
    <x v="198"/>
    <x v="2"/>
    <x v="21"/>
    <x v="11"/>
    <x v="2"/>
    <x v="1"/>
    <x v="1"/>
    <x v="6"/>
    <n v="8"/>
    <n v="953.14"/>
    <n v="7625.12"/>
    <n v="0"/>
    <n v="1142.0999999999999"/>
    <x v="3"/>
  </r>
  <r>
    <s v="b0633e2f-c936-4612-a8e5-8440af95ebe4"/>
    <x v="210"/>
    <x v="1"/>
    <x v="23"/>
    <x v="11"/>
    <x v="2"/>
    <x v="1"/>
    <x v="0"/>
    <x v="0"/>
    <n v="5"/>
    <n v="854.87"/>
    <n v="4274.3500000000004"/>
    <n v="0.15"/>
    <n v="541.61"/>
    <x v="1"/>
  </r>
  <r>
    <s v="a262879c-8ba5-487c-81ed-3c38cb1a4d22"/>
    <x v="273"/>
    <x v="3"/>
    <x v="16"/>
    <x v="8"/>
    <x v="3"/>
    <x v="2"/>
    <x v="2"/>
    <x v="5"/>
    <n v="7"/>
    <n v="533.42999999999995"/>
    <n v="3734.01"/>
    <n v="0.1"/>
    <n v="189.07"/>
    <x v="2"/>
  </r>
  <r>
    <s v="29a52549-16ea-4605-ba46-b7ccbc5b9727"/>
    <x v="4"/>
    <x v="2"/>
    <x v="2"/>
    <x v="2"/>
    <x v="2"/>
    <x v="2"/>
    <x v="3"/>
    <x v="11"/>
    <n v="7"/>
    <n v="783.05"/>
    <n v="5481.35"/>
    <n v="0"/>
    <n v="1159.19"/>
    <x v="3"/>
  </r>
  <r>
    <s v="f3873cdd-8399-4788-ad4d-c9e227fbe096"/>
    <x v="246"/>
    <x v="0"/>
    <x v="23"/>
    <x v="11"/>
    <x v="2"/>
    <x v="0"/>
    <x v="2"/>
    <x v="3"/>
    <n v="3"/>
    <n v="960.38"/>
    <n v="2881.14"/>
    <n v="0.15"/>
    <n v="487.66"/>
    <x v="0"/>
  </r>
  <r>
    <s v="f4a57921-7ebf-446d-9de0-4d6524263667"/>
    <x v="274"/>
    <x v="2"/>
    <x v="9"/>
    <x v="6"/>
    <x v="1"/>
    <x v="1"/>
    <x v="1"/>
    <x v="6"/>
    <n v="6"/>
    <n v="571.94000000000005"/>
    <n v="3431.64"/>
    <n v="0"/>
    <n v="594.04999999999995"/>
    <x v="0"/>
  </r>
  <r>
    <s v="0b974073-eabd-468d-95c1-3720ca96fa47"/>
    <x v="30"/>
    <x v="2"/>
    <x v="21"/>
    <x v="11"/>
    <x v="2"/>
    <x v="2"/>
    <x v="3"/>
    <x v="7"/>
    <n v="5"/>
    <n v="847.9"/>
    <n v="4239.5"/>
    <n v="0.15"/>
    <n v="513.66999999999996"/>
    <x v="0"/>
  </r>
  <r>
    <s v="816e0238-4785-4829-a59a-47591b8aced9"/>
    <x v="275"/>
    <x v="0"/>
    <x v="13"/>
    <x v="8"/>
    <x v="3"/>
    <x v="0"/>
    <x v="2"/>
    <x v="9"/>
    <n v="7"/>
    <n v="60.47"/>
    <n v="423.29"/>
    <n v="0"/>
    <n v="44.57"/>
    <x v="2"/>
  </r>
  <r>
    <s v="61735c84-fe78-44f2-b68d-91c56ba8c0ac"/>
    <x v="237"/>
    <x v="1"/>
    <x v="13"/>
    <x v="8"/>
    <x v="3"/>
    <x v="2"/>
    <x v="3"/>
    <x v="11"/>
    <n v="3"/>
    <n v="228.96"/>
    <n v="686.88"/>
    <n v="0.05"/>
    <n v="51.8"/>
    <x v="3"/>
  </r>
  <r>
    <s v="838197e9-aa90-42fe-8c54-cecfed634f8b"/>
    <x v="216"/>
    <x v="3"/>
    <x v="8"/>
    <x v="1"/>
    <x v="1"/>
    <x v="0"/>
    <x v="0"/>
    <x v="10"/>
    <n v="10"/>
    <n v="318.7"/>
    <n v="3187"/>
    <n v="0.2"/>
    <n v="493.28"/>
    <x v="3"/>
  </r>
  <r>
    <s v="9a761895-4fbc-4f31-a946-78b7ec1b24ef"/>
    <x v="44"/>
    <x v="4"/>
    <x v="5"/>
    <x v="3"/>
    <x v="2"/>
    <x v="0"/>
    <x v="0"/>
    <x v="0"/>
    <n v="10"/>
    <n v="236.23"/>
    <n v="2362.3000000000002"/>
    <n v="0"/>
    <n v="154.72"/>
    <x v="1"/>
  </r>
  <r>
    <s v="babf1638-2967-40c2-8301-12146a5b8a29"/>
    <x v="138"/>
    <x v="1"/>
    <x v="22"/>
    <x v="10"/>
    <x v="1"/>
    <x v="0"/>
    <x v="2"/>
    <x v="9"/>
    <n v="7"/>
    <n v="73.25"/>
    <n v="512.75"/>
    <n v="0.15"/>
    <n v="98.14"/>
    <x v="0"/>
  </r>
  <r>
    <s v="0de707c1-d6ca-4942-8836-6363f9b00548"/>
    <x v="86"/>
    <x v="1"/>
    <x v="23"/>
    <x v="11"/>
    <x v="2"/>
    <x v="2"/>
    <x v="1"/>
    <x v="6"/>
    <n v="8"/>
    <n v="942.59"/>
    <n v="7540.72"/>
    <n v="0.1"/>
    <n v="1183.48"/>
    <x v="0"/>
  </r>
  <r>
    <s v="9a964b08-5f51-4a02-b4a9-df365c2ddd61"/>
    <x v="3"/>
    <x v="4"/>
    <x v="15"/>
    <x v="6"/>
    <x v="1"/>
    <x v="1"/>
    <x v="1"/>
    <x v="2"/>
    <n v="10"/>
    <n v="213.06"/>
    <n v="2130.6"/>
    <n v="0.1"/>
    <n v="291.77"/>
    <x v="1"/>
  </r>
  <r>
    <s v="f852f017-3401-4b8c-90cc-9287f7f0548c"/>
    <x v="18"/>
    <x v="3"/>
    <x v="6"/>
    <x v="4"/>
    <x v="3"/>
    <x v="2"/>
    <x v="3"/>
    <x v="11"/>
    <n v="2"/>
    <n v="958.71"/>
    <n v="1917.42"/>
    <n v="0.05"/>
    <n v="297.06"/>
    <x v="1"/>
  </r>
  <r>
    <s v="b7cb19c1-fcc5-4124-bbfa-db3e281337f7"/>
    <x v="219"/>
    <x v="4"/>
    <x v="8"/>
    <x v="1"/>
    <x v="1"/>
    <x v="2"/>
    <x v="2"/>
    <x v="3"/>
    <n v="6"/>
    <n v="270.64"/>
    <n v="1623.84"/>
    <n v="0.2"/>
    <n v="141.1"/>
    <x v="3"/>
  </r>
  <r>
    <s v="d12c5da5-1d5c-4de2-83b2-c016fb82aafa"/>
    <x v="223"/>
    <x v="0"/>
    <x v="17"/>
    <x v="7"/>
    <x v="0"/>
    <x v="2"/>
    <x v="1"/>
    <x v="2"/>
    <n v="4"/>
    <n v="446.12"/>
    <n v="1784.48"/>
    <n v="0.15"/>
    <n v="185.62"/>
    <x v="1"/>
  </r>
  <r>
    <s v="a0a6cc99-9fbf-4f47-8531-b8fbb2a9d964"/>
    <x v="178"/>
    <x v="4"/>
    <x v="9"/>
    <x v="6"/>
    <x v="1"/>
    <x v="1"/>
    <x v="3"/>
    <x v="8"/>
    <n v="7"/>
    <n v="231.3"/>
    <n v="1619.1"/>
    <n v="0.05"/>
    <n v="361.68"/>
    <x v="3"/>
  </r>
  <r>
    <s v="17483a20-08d3-4055-a97a-408b6c54dbf9"/>
    <x v="276"/>
    <x v="1"/>
    <x v="0"/>
    <x v="0"/>
    <x v="0"/>
    <x v="2"/>
    <x v="1"/>
    <x v="2"/>
    <n v="2"/>
    <n v="83.34"/>
    <n v="166.68"/>
    <n v="0.15"/>
    <n v="21.39"/>
    <x v="0"/>
  </r>
  <r>
    <s v="4bc58c94-9962-4991-a6e2-dd312e0482c8"/>
    <x v="277"/>
    <x v="3"/>
    <x v="6"/>
    <x v="4"/>
    <x v="3"/>
    <x v="2"/>
    <x v="1"/>
    <x v="12"/>
    <n v="3"/>
    <n v="122.55"/>
    <n v="367.65"/>
    <n v="0.1"/>
    <n v="67.2"/>
    <x v="1"/>
  </r>
  <r>
    <s v="d6c63265-baac-45e5-988f-707f4c3e8eb2"/>
    <x v="148"/>
    <x v="0"/>
    <x v="22"/>
    <x v="10"/>
    <x v="1"/>
    <x v="1"/>
    <x v="2"/>
    <x v="3"/>
    <n v="2"/>
    <n v="134.11000000000001"/>
    <n v="268.22000000000003"/>
    <n v="0.2"/>
    <n v="50.15"/>
    <x v="2"/>
  </r>
  <r>
    <s v="790c2468-5337-48ef-a434-4219d942fe64"/>
    <x v="18"/>
    <x v="1"/>
    <x v="17"/>
    <x v="7"/>
    <x v="0"/>
    <x v="1"/>
    <x v="2"/>
    <x v="5"/>
    <n v="6"/>
    <n v="592.29999999999995"/>
    <n v="3553.8"/>
    <n v="0.2"/>
    <n v="203.43"/>
    <x v="0"/>
  </r>
  <r>
    <s v="b7b95cac-6c86-422e-b89b-b8f6c7af8662"/>
    <x v="215"/>
    <x v="0"/>
    <x v="3"/>
    <x v="2"/>
    <x v="2"/>
    <x v="0"/>
    <x v="0"/>
    <x v="4"/>
    <n v="5"/>
    <n v="758.14"/>
    <n v="3790.7"/>
    <n v="0.05"/>
    <n v="708.31"/>
    <x v="3"/>
  </r>
  <r>
    <s v="af1faad7-9066-4564-86ae-200f96f25d91"/>
    <x v="168"/>
    <x v="0"/>
    <x v="1"/>
    <x v="1"/>
    <x v="1"/>
    <x v="2"/>
    <x v="0"/>
    <x v="10"/>
    <n v="8"/>
    <n v="178.37"/>
    <n v="1426.96"/>
    <n v="0.2"/>
    <n v="120.85"/>
    <x v="0"/>
  </r>
  <r>
    <s v="4e7ef6df-1be3-43ce-81cf-94ef83b87b77"/>
    <x v="277"/>
    <x v="2"/>
    <x v="3"/>
    <x v="2"/>
    <x v="2"/>
    <x v="0"/>
    <x v="0"/>
    <x v="10"/>
    <n v="5"/>
    <n v="324.14999999999998"/>
    <n v="1620.75"/>
    <n v="0.1"/>
    <n v="293.86"/>
    <x v="3"/>
  </r>
  <r>
    <s v="afc9caed-8aa4-48ca-a7d7-47c0d9e79cf7"/>
    <x v="278"/>
    <x v="4"/>
    <x v="11"/>
    <x v="7"/>
    <x v="0"/>
    <x v="0"/>
    <x v="1"/>
    <x v="6"/>
    <n v="2"/>
    <n v="348.65"/>
    <n v="697.3"/>
    <n v="0.05"/>
    <n v="48.83"/>
    <x v="0"/>
  </r>
  <r>
    <s v="d8d59c39-ceae-457c-95a5-1ea7e874f190"/>
    <x v="279"/>
    <x v="1"/>
    <x v="16"/>
    <x v="8"/>
    <x v="3"/>
    <x v="2"/>
    <x v="3"/>
    <x v="7"/>
    <n v="4"/>
    <n v="667.1"/>
    <n v="2668.4"/>
    <n v="0.05"/>
    <n v="175.41"/>
    <x v="1"/>
  </r>
  <r>
    <s v="263c24a4-8d7f-4d9a-b342-9f0ae0e8f0d4"/>
    <x v="100"/>
    <x v="2"/>
    <x v="8"/>
    <x v="1"/>
    <x v="1"/>
    <x v="2"/>
    <x v="1"/>
    <x v="6"/>
    <n v="6"/>
    <n v="204.73"/>
    <n v="1228.3800000000001"/>
    <n v="0.2"/>
    <n v="132.96"/>
    <x v="1"/>
  </r>
  <r>
    <s v="f7f51cea-5748-46bf-a541-a8e36ab60266"/>
    <x v="76"/>
    <x v="2"/>
    <x v="11"/>
    <x v="7"/>
    <x v="0"/>
    <x v="0"/>
    <x v="2"/>
    <x v="3"/>
    <n v="8"/>
    <n v="889.1"/>
    <n v="7112.8"/>
    <n v="0.15"/>
    <n v="620.38"/>
    <x v="1"/>
  </r>
  <r>
    <s v="fcfac431-299e-4a32-8381-e0b29205f900"/>
    <x v="162"/>
    <x v="3"/>
    <x v="15"/>
    <x v="6"/>
    <x v="1"/>
    <x v="0"/>
    <x v="1"/>
    <x v="2"/>
    <n v="6"/>
    <n v="158.41"/>
    <n v="950.46"/>
    <n v="0.1"/>
    <n v="90.01"/>
    <x v="1"/>
  </r>
  <r>
    <s v="5a127b3e-adc9-4e60-a977-06830bd02316"/>
    <x v="96"/>
    <x v="4"/>
    <x v="15"/>
    <x v="6"/>
    <x v="1"/>
    <x v="2"/>
    <x v="0"/>
    <x v="0"/>
    <n v="9"/>
    <n v="661.81"/>
    <n v="5956.29"/>
    <n v="0"/>
    <n v="1428.5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34BF9-FD94-5B44-9CB1-F1C7CF7F12DE}"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3" firstHeaderRow="0" firstDataRow="1" firstDataCol="0"/>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pivotField showAll="0"/>
    <pivotField showAll="0">
      <items count="4">
        <item h="1" x="1"/>
        <item h="1" x="2"/>
        <item x="0"/>
        <item t="default"/>
      </items>
    </pivotField>
    <pivotField showAll="0"/>
    <pivotField showAll="0"/>
    <pivotField showAll="0"/>
    <pivotField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0"/>
    <dataField name="Average of Discount" fld="12" subtotal="average" baseField="0" baseItem="0" numFmtId="10"/>
    <dataField name="Sum of Profit" fld="13" baseField="0" baseItem="0"/>
  </dataFields>
  <formats count="8">
    <format dxfId="68">
      <pivotArea type="all" dataOnly="0" outline="0" fieldPosition="0"/>
    </format>
    <format dxfId="69">
      <pivotArea outline="0" collapsedLevelsAreSubtotals="1" fieldPosition="0"/>
    </format>
    <format dxfId="70">
      <pivotArea dataOnly="0" labelOnly="1" outline="0" fieldPosition="0">
        <references count="1">
          <reference field="4294967294" count="4">
            <x v="0"/>
            <x v="1"/>
            <x v="2"/>
            <x v="3"/>
          </reference>
        </references>
      </pivotArea>
    </format>
    <format dxfId="71">
      <pivotArea outline="0" collapsedLevelsAreSubtotals="1" fieldPosition="0">
        <references count="1">
          <reference field="4294967294" count="1" selected="0">
            <x v="2"/>
          </reference>
        </references>
      </pivotArea>
    </format>
    <format dxfId="72">
      <pivotArea dataOnly="0" labelOnly="1" outline="0" fieldPosition="0">
        <references count="1">
          <reference field="4294967294" count="1">
            <x v="2"/>
          </reference>
        </references>
      </pivotArea>
    </format>
    <format dxfId="73">
      <pivotArea type="all" dataOnly="0" outline="0" fieldPosition="0"/>
    </format>
    <format dxfId="74">
      <pivotArea outline="0" collapsedLevelsAreSubtotals="1" fieldPosition="0"/>
    </format>
    <format dxfId="7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1A21AC-FE6D-2945-AB01-842B305FBC99}" name="PivotTable2"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B2:C7"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axis="axisRow" showAll="0">
      <items count="6">
        <item x="4"/>
        <item x="2"/>
        <item x="1"/>
        <item x="0"/>
        <item x="3"/>
        <item t="default"/>
      </items>
    </pivotField>
    <pivotField showAll="0"/>
    <pivotField showAll="0"/>
    <pivotField showAll="0"/>
    <pivotField showAll="0">
      <items count="4">
        <item h="1" x="1"/>
        <item h="1" x="2"/>
        <item x="0"/>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x v="4"/>
    </i>
  </rowItems>
  <colItems count="1">
    <i/>
  </colItems>
  <dataFields count="1">
    <dataField name="Sum of Sales" fld="11" baseField="0" baseItem="0" numFmtId="164"/>
  </dataFields>
  <formats count="2">
    <format dxfId="60">
      <pivotArea outline="0" collapsedLevelsAreSubtotals="1" fieldPosition="0"/>
    </format>
    <format dxfId="6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C5348-5034-E34D-84A6-54622EC29DF6}" name="PivotTable3"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B2:F15" firstHeaderRow="1" firstDataRow="2"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axis="axisRow" showAll="0" sortType="descending">
      <items count="13">
        <item x="6"/>
        <item x="2"/>
        <item x="0"/>
        <item x="4"/>
        <item x="5"/>
        <item x="1"/>
        <item x="11"/>
        <item x="7"/>
        <item x="3"/>
        <item x="9"/>
        <item x="8"/>
        <item x="10"/>
        <item t="default"/>
      </items>
    </pivotField>
    <pivotField showAll="0"/>
    <pivotField showAll="0">
      <items count="4">
        <item h="1" x="1"/>
        <item h="1" x="2"/>
        <item x="0"/>
        <item t="default"/>
      </items>
    </pivotField>
    <pivotField axis="axisCol" showAll="0">
      <items count="5">
        <item x="1"/>
        <item x="3"/>
        <item x="0"/>
        <item x="2"/>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2">
    <i>
      <x/>
    </i>
    <i>
      <x v="1"/>
    </i>
    <i>
      <x v="2"/>
    </i>
    <i>
      <x v="3"/>
    </i>
    <i>
      <x v="4"/>
    </i>
    <i>
      <x v="5"/>
    </i>
    <i>
      <x v="6"/>
    </i>
    <i>
      <x v="7"/>
    </i>
    <i>
      <x v="8"/>
    </i>
    <i>
      <x v="9"/>
    </i>
    <i>
      <x v="10"/>
    </i>
    <i>
      <x v="11"/>
    </i>
  </rowItems>
  <colFields count="1">
    <field x="7"/>
  </colFields>
  <colItems count="4">
    <i>
      <x/>
    </i>
    <i>
      <x v="1"/>
    </i>
    <i>
      <x v="2"/>
    </i>
    <i>
      <x v="3"/>
    </i>
  </colItems>
  <dataFields count="1">
    <dataField name="Sum of Profit" fld="13" baseField="0" baseItem="0" numFmtId="164"/>
  </dataFields>
  <formats count="1">
    <format dxfId="65">
      <pivotArea outline="0" collapsedLevelsAreSubtotals="1" fieldPosition="0"/>
    </format>
  </formats>
  <chartFormats count="8">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5" format="8" series="1">
      <pivotArea type="data" outline="0" fieldPosition="0">
        <references count="2">
          <reference field="4294967294" count="1" selected="0">
            <x v="0"/>
          </reference>
          <reference field="7"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97ED68-F187-3549-AEAA-6521DBBD94CD}" name="PivotTable4"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B2:C17" firstHeaderRow="1" firstDataRow="1" firstDataCol="1"/>
  <pivotFields count="18">
    <pivotField showAll="0"/>
    <pivotField axis="axisRow"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pivotField showAll="0"/>
    <pivotField showAll="0">
      <items count="4">
        <item h="1" x="1"/>
        <item h="1" x="2"/>
        <item x="0"/>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7"/>
    <field x="15"/>
    <field x="1"/>
  </rowFields>
  <rowItems count="15">
    <i>
      <x v="1"/>
    </i>
    <i r="1">
      <x v="6"/>
    </i>
    <i r="1">
      <x v="7"/>
    </i>
    <i r="1">
      <x v="8"/>
    </i>
    <i r="1">
      <x v="9"/>
    </i>
    <i r="1">
      <x v="10"/>
    </i>
    <i r="1">
      <x v="11"/>
    </i>
    <i r="1">
      <x v="12"/>
    </i>
    <i>
      <x v="2"/>
    </i>
    <i r="1">
      <x v="1"/>
    </i>
    <i r="1">
      <x v="2"/>
    </i>
    <i r="1">
      <x v="3"/>
    </i>
    <i r="1">
      <x v="4"/>
    </i>
    <i r="1">
      <x v="5"/>
    </i>
    <i r="1">
      <x v="6"/>
    </i>
  </rowItems>
  <colItems count="1">
    <i/>
  </colItems>
  <dataFields count="1">
    <dataField name="Sum of Sales" fld="11" baseField="0" baseItem="0" numFmtId="164"/>
  </dataFields>
  <formats count="2">
    <format dxfId="56">
      <pivotArea outline="0" collapsedLevelsAreSubtotals="1" fieldPosition="0"/>
    </format>
    <format dxfId="5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28B457-CAB2-3A49-A77A-BEE4A7542AF0}" name="PivotTable5"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B2:C6"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items count="13">
        <item h="1" x="10"/>
        <item x="8"/>
        <item h="1" x="9"/>
        <item h="1" x="3"/>
        <item h="1" x="7"/>
        <item h="1" x="11"/>
        <item h="1" x="1"/>
        <item h="1" x="5"/>
        <item h="1" x="4"/>
        <item h="1" x="0"/>
        <item h="1" x="2"/>
        <item h="1" x="6"/>
        <item t="default"/>
      </items>
    </pivotField>
    <pivotField showAll="0"/>
    <pivotField showAll="0">
      <items count="4">
        <item h="1" x="1"/>
        <item h="1" x="2"/>
        <item x="0"/>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7"/>
  </rowFields>
  <rowItems count="4">
    <i>
      <x v="3"/>
    </i>
    <i>
      <x/>
    </i>
    <i>
      <x v="2"/>
    </i>
    <i>
      <x v="1"/>
    </i>
  </rowItems>
  <colItems count="1">
    <i/>
  </colItems>
  <dataFields count="1">
    <dataField name="Sum of Profit" fld="13" baseField="0" baseItem="0" numFmtId="164"/>
  </dataFields>
  <formats count="2">
    <format dxfId="54">
      <pivotArea outline="0" collapsedLevelsAreSubtotals="1" fieldPosition="0"/>
    </format>
    <format dxfId="5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E5F370-A35C-4741-B5F5-3F8DB9EF0A9E}" name="PivotTable6" cacheId="30" applyNumberFormats="0" applyBorderFormats="0" applyFontFormats="0" applyPatternFormats="0" applyAlignmentFormats="0" applyWidthHeightFormats="1" dataCaption="Values" updatedVersion="8" minRefreshableVersion="3" printDrill="1" useAutoFormatting="1" rowGrandTotals="0" itemPrintTitles="1" mergeItem="1" createdVersion="8" indent="0" outline="1" outlineData="1" chartFormat="11">
  <location ref="B2:C6"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pivotField showAll="0"/>
    <pivotField showAll="0">
      <items count="4">
        <item h="1" x="1"/>
        <item h="1" x="2"/>
        <item x="0"/>
        <item t="default"/>
      </items>
    </pivotField>
    <pivotField showAll="0"/>
    <pivotField showAll="0"/>
    <pivotField showAll="0"/>
    <pivotField showAll="0"/>
    <pivotField dataField="1" showAll="0"/>
    <pivotField showAll="0"/>
    <pivotField showAll="0"/>
    <pivotField axis="axisRow" showAll="0">
      <items count="5">
        <item x="3"/>
        <item x="2"/>
        <item x="1"/>
        <item x="0"/>
        <item t="default"/>
      </items>
    </pivotField>
    <pivotField showAll="0" defaultSubtotal="0"/>
    <pivotField showAll="0" defaultSubtotal="0"/>
    <pivotField showAll="0" defaultSubtotal="0">
      <items count="4">
        <item x="0"/>
        <item x="1"/>
        <item x="2"/>
        <item x="3"/>
      </items>
    </pivotField>
  </pivotFields>
  <rowFields count="1">
    <field x="14"/>
  </rowFields>
  <rowItems count="4">
    <i>
      <x/>
    </i>
    <i>
      <x v="1"/>
    </i>
    <i>
      <x v="2"/>
    </i>
    <i>
      <x v="3"/>
    </i>
  </rowItems>
  <colItems count="1">
    <i/>
  </colItems>
  <dataFields count="1">
    <dataField name="Sum of Sales" fld="11" baseField="0" baseItem="0" numFmtId="164"/>
  </dataFields>
  <formats count="2">
    <format dxfId="66">
      <pivotArea outline="0" collapsedLevelsAreSubtotals="1" fieldPosition="0"/>
    </format>
    <format dxfId="6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4" count="1" selected="0">
            <x v="0"/>
          </reference>
        </references>
      </pivotArea>
    </chartFormat>
    <chartFormat chart="4" format="12">
      <pivotArea type="data" outline="0" fieldPosition="0">
        <references count="2">
          <reference field="4294967294" count="1" selected="0">
            <x v="0"/>
          </reference>
          <reference field="14" count="1" selected="0">
            <x v="1"/>
          </reference>
        </references>
      </pivotArea>
    </chartFormat>
    <chartFormat chart="4" format="13">
      <pivotArea type="data" outline="0" fieldPosition="0">
        <references count="2">
          <reference field="4294967294" count="1" selected="0">
            <x v="0"/>
          </reference>
          <reference field="14" count="1" selected="0">
            <x v="2"/>
          </reference>
        </references>
      </pivotArea>
    </chartFormat>
    <chartFormat chart="4"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1FE1DA-93FC-5448-BDEA-A806E88B1A65}" name="PivotTable7"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2:C12"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axis="axisRow" showAll="0" measureFilter="1" sortType="descending">
      <items count="25">
        <item x="11"/>
        <item x="5"/>
        <item x="9"/>
        <item x="15"/>
        <item x="14"/>
        <item x="18"/>
        <item x="1"/>
        <item x="19"/>
        <item x="0"/>
        <item x="10"/>
        <item x="13"/>
        <item x="7"/>
        <item x="16"/>
        <item x="22"/>
        <item x="8"/>
        <item x="2"/>
        <item x="23"/>
        <item x="21"/>
        <item x="3"/>
        <item x="4"/>
        <item x="6"/>
        <item x="12"/>
        <item x="17"/>
        <item x="2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1"/>
        <item h="1" x="2"/>
        <item x="0"/>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10">
    <i>
      <x v="1"/>
    </i>
    <i>
      <x v="14"/>
    </i>
    <i>
      <x v="10"/>
    </i>
    <i>
      <x v="8"/>
    </i>
    <i>
      <x/>
    </i>
    <i>
      <x v="9"/>
    </i>
    <i>
      <x v="16"/>
    </i>
    <i>
      <x v="5"/>
    </i>
    <i>
      <x v="21"/>
    </i>
    <i>
      <x v="6"/>
    </i>
  </rowItems>
  <colItems count="1">
    <i/>
  </colItems>
  <dataFields count="1">
    <dataField name="Sum of Sales" fld="11" baseField="0" baseItem="0" numFmtId="164"/>
  </dataFields>
  <formats count="2">
    <format dxfId="63">
      <pivotArea outline="0" collapsedLevelsAreSubtotals="1" fieldPosition="0"/>
    </format>
    <format dxfId="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136869-1981-9846-99FE-2E9107E630E8}" name="PivotTable8"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B2:C15"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pivotField showAll="0"/>
    <pivotField showAll="0">
      <items count="4">
        <item h="1" x="1"/>
        <item h="1" x="2"/>
        <item x="0"/>
        <item t="default"/>
      </items>
    </pivotField>
    <pivotField showAll="0"/>
    <pivotField axis="axisRow" showAll="0" sortType="descending">
      <items count="14">
        <item x="2"/>
        <item x="10"/>
        <item x="5"/>
        <item x="1"/>
        <item x="11"/>
        <item x="6"/>
        <item x="12"/>
        <item x="9"/>
        <item x="4"/>
        <item x="3"/>
        <item x="0"/>
        <item x="8"/>
        <item x="7"/>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13">
    <i>
      <x/>
    </i>
    <i>
      <x v="1"/>
    </i>
    <i>
      <x v="2"/>
    </i>
    <i>
      <x v="3"/>
    </i>
    <i>
      <x v="4"/>
    </i>
    <i>
      <x v="5"/>
    </i>
    <i>
      <x v="6"/>
    </i>
    <i>
      <x v="7"/>
    </i>
    <i>
      <x v="8"/>
    </i>
    <i>
      <x v="9"/>
    </i>
    <i>
      <x v="10"/>
    </i>
    <i>
      <x v="11"/>
    </i>
    <i>
      <x v="12"/>
    </i>
  </rowItems>
  <colItems count="1">
    <i/>
  </colItems>
  <dataFields count="1">
    <dataField name="Sum of Sales" fld="11" baseField="0" baseItem="0" numFmtId="164"/>
  </dataFields>
  <formats count="2">
    <format dxfId="58">
      <pivotArea outline="0" collapsedLevelsAreSubtotals="1" fieldPosition="0"/>
    </format>
    <format dxfId="5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90D06D-69B3-614B-8E33-9C2745171FCB}" name="PivotTable9"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2:G7" firstHeaderRow="1" firstDataRow="2"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4">
        <item h="1" x="1"/>
        <item h="1" x="2"/>
        <item x="0"/>
        <item t="default"/>
      </items>
    </pivotField>
    <pivotField axis="axisCol" showAll="0">
      <items count="5">
        <item x="1"/>
        <item x="3"/>
        <item x="0"/>
        <item x="2"/>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4">
    <i>
      <x v="3"/>
    </i>
    <i>
      <x v="2"/>
    </i>
    <i>
      <x/>
    </i>
    <i>
      <x v="1"/>
    </i>
  </rowItems>
  <colFields count="1">
    <field x="7"/>
  </colFields>
  <colItems count="5">
    <i>
      <x/>
    </i>
    <i>
      <x v="1"/>
    </i>
    <i>
      <x v="2"/>
    </i>
    <i>
      <x v="3"/>
    </i>
    <i t="grand">
      <x/>
    </i>
  </colItems>
  <dataFields count="1">
    <dataField name="Sum of Sales" fld="11" baseField="0" baseItem="0" numFmtId="164"/>
  </dataFields>
  <formats count="1">
    <format dxfId="62">
      <pivotArea outline="0" collapsedLevelsAreSubtotals="1" fieldPosition="0"/>
    </format>
  </format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248B15C-1EF4-9243-B704-5B5DC6704698}" sourceName="State">
  <pivotTables>
    <pivotTable tabId="8" name="PivotTable5"/>
  </pivotTables>
  <data>
    <tabular pivotCacheId="517948119">
      <items count="12">
        <i x="10"/>
        <i x="8" s="1"/>
        <i x="9"/>
        <i x="3"/>
        <i x="7"/>
        <i x="11"/>
        <i x="1"/>
        <i x="5"/>
        <i x="4"/>
        <i x="0"/>
        <i x="2"/>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AC78573-AE64-194E-9CA2-38DAF62216C1}" sourceName="Customer Segment">
  <pivotTables>
    <pivotTable tabId="8" name="PivotTable5"/>
    <pivotTable tabId="4" name="PivotTable1"/>
    <pivotTable tabId="9" name="PivotTable6"/>
    <pivotTable tabId="6" name="PivotTable3"/>
    <pivotTable tabId="10" name="PivotTable7"/>
    <pivotTable tabId="12" name="PivotTable9"/>
    <pivotTable tabId="5" name="PivotTable2"/>
    <pivotTable tabId="11" name="PivotTable8"/>
    <pivotTable tabId="7" name="PivotTable4"/>
  </pivotTables>
  <data>
    <tabular pivotCacheId="517948119">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0C501F2-4AA7-8741-A33A-917A79A2AEA0}" cache="Slicer_State" caption="State" style="SlicerStyleLight1 2" rowHeight="251883"/>
  <slicer name="State 2" xr10:uid="{14857F50-7D17-F145-9494-1226F6908848}" cache="Slicer_State" caption="State" style="SlicerStyleLight1 2" rowHeight="251883"/>
  <slicer name="State 3" xr10:uid="{01647669-EB58-1342-A956-04342A71CEE4}" cache="Slicer_State" caption="State" style="SlicerStyleLight1 2" rowHeight="251883"/>
  <slicer name="State 4" xr10:uid="{D3126A3F-86B5-C342-9ADE-B883A379A643}" cache="Slicer_State" caption="State" style="SlicerStyleLight1 2" rowHeight="251883"/>
  <slicer name="State 5" xr10:uid="{4742F20D-5527-FE45-B706-4DF5FDE6312D}" cache="Slicer_State" caption="State" style="SlicerStyleLight1 2" rowHeight="251883"/>
  <slicer name="State 6" xr10:uid="{6D24E622-4B0E-F24C-80CF-B1D5AF3C2986}" cache="Slicer_State" caption="State" style="SlicerStyleLight1 2" rowHeight="251883"/>
  <slicer name="State 7" xr10:uid="{AAE91F93-EE50-F246-BB32-B9E07F76C6F6}" cache="Slicer_State" caption="State" style="SlicerStyleLight1 2" rowHeight="251883"/>
  <slicer name="State 8" xr10:uid="{6C47C761-4F66-E24F-A369-4F45CA151EBE}" cache="Slicer_State" caption="State" style="SlicerStyleLight1 2" rowHeight="251883"/>
  <slicer name="State 9" xr10:uid="{FE025E33-2EE8-6E49-BF82-F49853565B1D}" cache="Slicer_State" caption="State" style="SlicerStyleLight1 2" rowHeight="251883"/>
  <slicer name="State 10" xr10:uid="{8F13808C-D2AA-6545-BD4C-BA8E05A30A55}" cache="Slicer_State" caption="State" style="SlicerStyleLight1 2" rowHeight="251883"/>
  <slicer name="Customer Segment 1" xr10:uid="{1C12278E-34F9-064B-AE96-9D0BC7875706}" cache="Slicer_Customer_Segment" caption="Customer Segment" style="SlicerStyleLight1 2" rowHeight="251883"/>
  <slicer name="Customer Segment 2" xr10:uid="{8F155938-97ED-A344-B57E-18D1B2AEF42E}" cache="Slicer_Customer_Segment" caption="Customer Segment" style="SlicerStyleLight1 2" rowHeight="251883"/>
  <slicer name="Customer Segment 3" xr10:uid="{1B425A6D-38C3-7E43-BAEB-27C313DE83E5}" cache="Slicer_Customer_Segment" caption="Customer Segment" style="SlicerStyleLight1 2" rowHeight="251883"/>
  <slicer name="Customer Segment 4" xr10:uid="{C20C38D5-FCAE-FD4C-89B7-7F45A9567647}" cache="Slicer_Customer_Segment" caption="Customer Segment" style="SlicerStyleLight1 2" rowHeight="251883"/>
  <slicer name="Customer Segment 5" xr10:uid="{C91EE614-3439-254E-AC56-AC9E8AD4ADEF}" cache="Slicer_Customer_Segment" caption="Customer Segment" style="SlicerStyleLight1 2" rowHeight="251883"/>
  <slicer name="Customer Segment 6" xr10:uid="{CE6CE82E-11F1-684B-88A5-BE1BB2671C02}" cache="Slicer_Customer_Segment" caption="Customer Segment" style="SlicerStyleLight1 2" rowHeight="251883"/>
  <slicer name="Customer Segment 7" xr10:uid="{774A19B7-BA76-D64D-92E8-E6C5EA7F0F93}" cache="Slicer_Customer_Segment" caption="Customer Segment" style="SlicerStyleLight1 2" rowHeight="251883"/>
  <slicer name="Customer Segment 8" xr10:uid="{37915091-F9B4-B14D-85C8-E979F89282F1}" cache="Slicer_Customer_Segment" caption="Customer Segment" style="SlicerStyleLight1 2" rowHeight="251883"/>
  <slicer name="Customer Segment 9" xr10:uid="{23ADD4C1-B186-EB44-AB68-9908F6D3D648}" cache="Slicer_Customer_Segment" caption="Customer Segment" style="SlicerStyleLight1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CA4E484-0378-8941-9FD6-C21D9007E6EA}" cache="Slicer_State" caption="State" style="SlicerStyleLight1 2" rowHeight="251883"/>
  <slicer name="Customer Segment" xr10:uid="{F0ADFE8D-0F2C-674D-A8D2-BE02B2FA655A}" cache="Slicer_Customer_Segment" caption="Customer Segment"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5865A7-7756-46C4-A318-216A0843ECC0}" name="Table1" displayName="Table1" ref="A1:O501" totalsRowShown="0">
  <autoFilter ref="A1:O501" xr:uid="{7D5865A7-7756-46C4-A318-216A0843ECC0}"/>
  <tableColumns count="15">
    <tableColumn id="1" xr3:uid="{9CFC9F54-3A31-4CD5-8C47-F52976B0D287}" name="Receipt ID"/>
    <tableColumn id="2" xr3:uid="{79FB5F67-ECBA-4EAF-B965-D10A06F2FBCB}" name="Purchase Date" dataDxfId="180"/>
    <tableColumn id="3" xr3:uid="{FD2E73F1-B817-4B51-BBED-607AD7DD76CF}" name="Store Name"/>
    <tableColumn id="4" xr3:uid="{D84457FC-A237-4130-AF0D-22258B5352FE}" name="City"/>
    <tableColumn id="5" xr3:uid="{870602B4-0BFB-4968-B8FE-E0D091E9EB04}" name="State"/>
    <tableColumn id="6" xr3:uid="{6180C9A8-5499-4E8E-86FC-A2E0B08D883B}" name="Region"/>
    <tableColumn id="7" xr3:uid="{ACF09D17-F66B-41DD-A3AD-596FF6BEE443}" name="Customer Segment"/>
    <tableColumn id="8" xr3:uid="{BD658525-B008-4709-A5BD-8F08B28A9412}" name="Category"/>
    <tableColumn id="9" xr3:uid="{21C68412-E77E-4D47-9EEA-E7C278C068D1}" name="Sub-Category"/>
    <tableColumn id="10" xr3:uid="{39793811-D7F5-4149-A9C0-D0101D749B5B}" name="Quantity"/>
    <tableColumn id="11" xr3:uid="{FEC47E3F-3DB6-49E7-895A-E13033DB5DEE}" name="Unit Price"/>
    <tableColumn id="12" xr3:uid="{4393015A-FEDB-4539-A1AE-5750D5010AEA}" name="Sales"/>
    <tableColumn id="13" xr3:uid="{23021F32-DFDA-4875-AD3F-CAC8E6CC7EA2}" name="Discount"/>
    <tableColumn id="14" xr3:uid="{BCE4CD44-2977-4E54-BEB8-1FB92AAABE02}" name="Profit"/>
    <tableColumn id="15" xr3:uid="{3CAAC7B5-4D6C-4823-8A18-6B6F0DF627E3}" name="Payment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DE03-D72D-FA4A-944D-78CE7AA28159}">
  <dimension ref="AO12:AO18"/>
  <sheetViews>
    <sheetView tabSelected="1" zoomScale="41" zoomScaleNormal="65" workbookViewId="0">
      <selection activeCell="AN30" sqref="AN30"/>
    </sheetView>
  </sheetViews>
  <sheetFormatPr baseColWidth="10" defaultRowHeight="16" x14ac:dyDescent="0.2"/>
  <cols>
    <col min="41" max="41" width="14" bestFit="1" customWidth="1"/>
  </cols>
  <sheetData>
    <row r="12" spans="41:41" x14ac:dyDescent="0.2">
      <c r="AO12" s="3"/>
    </row>
    <row r="14" spans="41:41" x14ac:dyDescent="0.2">
      <c r="AO14" s="5"/>
    </row>
    <row r="16" spans="41:41" x14ac:dyDescent="0.2">
      <c r="AO16" s="3"/>
    </row>
    <row r="18" spans="41:41" x14ac:dyDescent="0.2">
      <c r="AO18" s="3"/>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94561-97B9-9A46-BC64-5F554721D735}">
  <dimension ref="A1:O501"/>
  <sheetViews>
    <sheetView workbookViewId="0">
      <selection activeCell="B9" sqref="B8:B9"/>
    </sheetView>
  </sheetViews>
  <sheetFormatPr baseColWidth="10" defaultColWidth="11" defaultRowHeight="16" x14ac:dyDescent="0.2"/>
  <cols>
    <col min="1" max="1" width="26.83203125" bestFit="1" customWidth="1"/>
    <col min="2" max="2" width="14.6640625" bestFit="1" customWidth="1"/>
    <col min="3" max="3" width="12.5" bestFit="1" customWidth="1"/>
    <col min="4" max="4" width="12" bestFit="1" customWidth="1"/>
    <col min="5" max="5" width="12.83203125" bestFit="1" customWidth="1"/>
    <col min="7" max="7" width="18.6640625" bestFit="1" customWidth="1"/>
    <col min="8" max="8" width="13.5" bestFit="1" customWidth="1"/>
    <col min="9" max="9" width="14" bestFit="1" customWidth="1"/>
    <col min="15" max="15" width="16.6640625"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s="1">
        <v>45645</v>
      </c>
      <c r="C2" t="s">
        <v>16</v>
      </c>
      <c r="D2" t="s">
        <v>17</v>
      </c>
      <c r="E2" t="s">
        <v>18</v>
      </c>
      <c r="F2" t="s">
        <v>19</v>
      </c>
      <c r="G2" t="s">
        <v>20</v>
      </c>
      <c r="H2" t="s">
        <v>21</v>
      </c>
      <c r="I2" t="s">
        <v>22</v>
      </c>
      <c r="J2">
        <v>9</v>
      </c>
      <c r="K2">
        <v>694.74</v>
      </c>
      <c r="L2">
        <v>6252.66</v>
      </c>
      <c r="M2">
        <v>0.05</v>
      </c>
      <c r="N2">
        <v>1084.19</v>
      </c>
      <c r="O2" t="s">
        <v>23</v>
      </c>
    </row>
    <row r="3" spans="1:15" x14ac:dyDescent="0.2">
      <c r="A3" t="s">
        <v>24</v>
      </c>
      <c r="B3" s="1">
        <v>45781</v>
      </c>
      <c r="C3" t="s">
        <v>25</v>
      </c>
      <c r="D3" t="s">
        <v>26</v>
      </c>
      <c r="E3" t="s">
        <v>27</v>
      </c>
      <c r="F3" t="s">
        <v>28</v>
      </c>
      <c r="G3" t="s">
        <v>20</v>
      </c>
      <c r="H3" t="s">
        <v>21</v>
      </c>
      <c r="I3" t="s">
        <v>29</v>
      </c>
      <c r="J3">
        <v>8</v>
      </c>
      <c r="K3">
        <v>177.82</v>
      </c>
      <c r="L3">
        <v>1422.56</v>
      </c>
      <c r="M3">
        <v>0.15</v>
      </c>
      <c r="N3">
        <v>77.290000000000006</v>
      </c>
      <c r="O3" t="s">
        <v>30</v>
      </c>
    </row>
    <row r="4" spans="1:15" x14ac:dyDescent="0.2">
      <c r="A4" t="s">
        <v>31</v>
      </c>
      <c r="B4" s="1">
        <v>45551</v>
      </c>
      <c r="C4" t="s">
        <v>32</v>
      </c>
      <c r="D4" t="s">
        <v>33</v>
      </c>
      <c r="E4" t="s">
        <v>34</v>
      </c>
      <c r="F4" t="s">
        <v>35</v>
      </c>
      <c r="G4" t="s">
        <v>36</v>
      </c>
      <c r="H4" t="s">
        <v>21</v>
      </c>
      <c r="I4" t="s">
        <v>29</v>
      </c>
      <c r="J4">
        <v>10</v>
      </c>
      <c r="K4">
        <v>903.45</v>
      </c>
      <c r="L4">
        <v>9034.5</v>
      </c>
      <c r="M4">
        <v>0</v>
      </c>
      <c r="N4">
        <v>1819.69</v>
      </c>
      <c r="O4" t="s">
        <v>37</v>
      </c>
    </row>
    <row r="5" spans="1:15" x14ac:dyDescent="0.2">
      <c r="A5" t="s">
        <v>38</v>
      </c>
      <c r="B5" s="1">
        <v>45742</v>
      </c>
      <c r="C5" t="s">
        <v>39</v>
      </c>
      <c r="D5" t="s">
        <v>40</v>
      </c>
      <c r="E5" t="s">
        <v>34</v>
      </c>
      <c r="F5" t="s">
        <v>35</v>
      </c>
      <c r="G5" t="s">
        <v>36</v>
      </c>
      <c r="H5" t="s">
        <v>41</v>
      </c>
      <c r="I5" t="s">
        <v>42</v>
      </c>
      <c r="J5">
        <v>5</v>
      </c>
      <c r="K5">
        <v>571.14</v>
      </c>
      <c r="L5">
        <v>2855.7</v>
      </c>
      <c r="M5">
        <v>0.1</v>
      </c>
      <c r="N5">
        <v>600.64</v>
      </c>
      <c r="O5" t="s">
        <v>23</v>
      </c>
    </row>
    <row r="6" spans="1:15" x14ac:dyDescent="0.2">
      <c r="A6" t="s">
        <v>43</v>
      </c>
      <c r="B6" s="1">
        <v>45483</v>
      </c>
      <c r="C6" t="s">
        <v>44</v>
      </c>
      <c r="D6" t="s">
        <v>45</v>
      </c>
      <c r="E6" t="s">
        <v>46</v>
      </c>
      <c r="F6" t="s">
        <v>35</v>
      </c>
      <c r="G6" t="s">
        <v>20</v>
      </c>
      <c r="H6" t="s">
        <v>47</v>
      </c>
      <c r="I6" t="s">
        <v>48</v>
      </c>
      <c r="J6">
        <v>3</v>
      </c>
      <c r="K6">
        <v>852.8</v>
      </c>
      <c r="L6">
        <v>2558.4</v>
      </c>
      <c r="M6">
        <v>0</v>
      </c>
      <c r="N6">
        <v>316.83999999999997</v>
      </c>
      <c r="O6" t="s">
        <v>49</v>
      </c>
    </row>
    <row r="7" spans="1:15" x14ac:dyDescent="0.2">
      <c r="A7" t="s">
        <v>50</v>
      </c>
      <c r="B7" s="1">
        <v>45552</v>
      </c>
      <c r="C7" t="s">
        <v>32</v>
      </c>
      <c r="D7" t="s">
        <v>51</v>
      </c>
      <c r="E7" t="s">
        <v>46</v>
      </c>
      <c r="F7" t="s">
        <v>35</v>
      </c>
      <c r="G7" t="s">
        <v>36</v>
      </c>
      <c r="H7" t="s">
        <v>21</v>
      </c>
      <c r="I7" t="s">
        <v>52</v>
      </c>
      <c r="J7">
        <v>10</v>
      </c>
      <c r="K7">
        <v>395.48</v>
      </c>
      <c r="L7">
        <v>3954.8</v>
      </c>
      <c r="M7">
        <v>0.1</v>
      </c>
      <c r="N7">
        <v>684.65</v>
      </c>
      <c r="O7" t="s">
        <v>49</v>
      </c>
    </row>
    <row r="8" spans="1:15" x14ac:dyDescent="0.2">
      <c r="A8" t="s">
        <v>53</v>
      </c>
      <c r="B8" s="1">
        <v>45663</v>
      </c>
      <c r="C8" t="s">
        <v>39</v>
      </c>
      <c r="D8" t="s">
        <v>54</v>
      </c>
      <c r="E8" t="s">
        <v>55</v>
      </c>
      <c r="F8" t="s">
        <v>56</v>
      </c>
      <c r="G8" t="s">
        <v>57</v>
      </c>
      <c r="H8" t="s">
        <v>47</v>
      </c>
      <c r="I8" t="s">
        <v>58</v>
      </c>
      <c r="J8">
        <v>4</v>
      </c>
      <c r="K8">
        <v>556.30999999999995</v>
      </c>
      <c r="L8">
        <v>2225.2399999999998</v>
      </c>
      <c r="M8">
        <v>0.1</v>
      </c>
      <c r="N8">
        <v>436.58</v>
      </c>
      <c r="O8" t="s">
        <v>37</v>
      </c>
    </row>
    <row r="9" spans="1:15" x14ac:dyDescent="0.2">
      <c r="A9" t="s">
        <v>59</v>
      </c>
      <c r="B9" s="1">
        <v>45643</v>
      </c>
      <c r="C9" t="s">
        <v>32</v>
      </c>
      <c r="D9" t="s">
        <v>60</v>
      </c>
      <c r="E9" t="s">
        <v>61</v>
      </c>
      <c r="F9" t="s">
        <v>19</v>
      </c>
      <c r="G9" t="s">
        <v>20</v>
      </c>
      <c r="H9" t="s">
        <v>41</v>
      </c>
      <c r="I9" t="s">
        <v>42</v>
      </c>
      <c r="J9">
        <v>3</v>
      </c>
      <c r="K9">
        <v>721.9</v>
      </c>
      <c r="L9">
        <v>2165.6999999999998</v>
      </c>
      <c r="M9">
        <v>0.15</v>
      </c>
      <c r="N9">
        <v>334.27</v>
      </c>
      <c r="O9" t="s">
        <v>30</v>
      </c>
    </row>
    <row r="10" spans="1:15" x14ac:dyDescent="0.2">
      <c r="A10" t="s">
        <v>62</v>
      </c>
      <c r="B10" s="1">
        <v>45769</v>
      </c>
      <c r="C10" t="s">
        <v>16</v>
      </c>
      <c r="D10" t="s">
        <v>17</v>
      </c>
      <c r="E10" t="s">
        <v>18</v>
      </c>
      <c r="F10" t="s">
        <v>19</v>
      </c>
      <c r="G10" t="s">
        <v>20</v>
      </c>
      <c r="H10" t="s">
        <v>41</v>
      </c>
      <c r="I10" t="s">
        <v>63</v>
      </c>
      <c r="J10">
        <v>10</v>
      </c>
      <c r="K10">
        <v>181.44</v>
      </c>
      <c r="L10">
        <v>1814.4</v>
      </c>
      <c r="M10">
        <v>0.2</v>
      </c>
      <c r="N10">
        <v>195.7</v>
      </c>
      <c r="O10" t="s">
        <v>49</v>
      </c>
    </row>
    <row r="11" spans="1:15" x14ac:dyDescent="0.2">
      <c r="A11" t="s">
        <v>64</v>
      </c>
      <c r="B11" s="1">
        <v>45714</v>
      </c>
      <c r="C11" t="s">
        <v>16</v>
      </c>
      <c r="D11" t="s">
        <v>45</v>
      </c>
      <c r="E11" t="s">
        <v>46</v>
      </c>
      <c r="F11" t="s">
        <v>35</v>
      </c>
      <c r="G11" t="s">
        <v>20</v>
      </c>
      <c r="H11" t="s">
        <v>47</v>
      </c>
      <c r="I11" t="s">
        <v>58</v>
      </c>
      <c r="J11">
        <v>10</v>
      </c>
      <c r="K11">
        <v>499.16</v>
      </c>
      <c r="L11">
        <v>4991.6000000000004</v>
      </c>
      <c r="M11">
        <v>0.05</v>
      </c>
      <c r="N11">
        <v>912.49</v>
      </c>
      <c r="O11" t="s">
        <v>30</v>
      </c>
    </row>
    <row r="12" spans="1:15" x14ac:dyDescent="0.2">
      <c r="A12" t="s">
        <v>65</v>
      </c>
      <c r="B12" s="1">
        <v>45463</v>
      </c>
      <c r="C12" t="s">
        <v>44</v>
      </c>
      <c r="D12" t="s">
        <v>45</v>
      </c>
      <c r="E12" t="s">
        <v>46</v>
      </c>
      <c r="F12" t="s">
        <v>35</v>
      </c>
      <c r="G12" t="s">
        <v>57</v>
      </c>
      <c r="H12" t="s">
        <v>66</v>
      </c>
      <c r="I12" t="s">
        <v>67</v>
      </c>
      <c r="J12">
        <v>2</v>
      </c>
      <c r="K12">
        <v>581.11</v>
      </c>
      <c r="L12">
        <v>1162.22</v>
      </c>
      <c r="M12">
        <v>0</v>
      </c>
      <c r="N12">
        <v>91.14</v>
      </c>
      <c r="O12" t="s">
        <v>23</v>
      </c>
    </row>
    <row r="13" spans="1:15" x14ac:dyDescent="0.2">
      <c r="A13" t="s">
        <v>68</v>
      </c>
      <c r="B13" s="1">
        <v>45477</v>
      </c>
      <c r="C13" t="s">
        <v>39</v>
      </c>
      <c r="D13" t="s">
        <v>69</v>
      </c>
      <c r="E13" t="s">
        <v>27</v>
      </c>
      <c r="F13" t="s">
        <v>28</v>
      </c>
      <c r="G13" t="s">
        <v>57</v>
      </c>
      <c r="H13" t="s">
        <v>66</v>
      </c>
      <c r="I13" t="s">
        <v>67</v>
      </c>
      <c r="J13">
        <v>9</v>
      </c>
      <c r="K13">
        <v>798.5</v>
      </c>
      <c r="L13">
        <v>7186.5</v>
      </c>
      <c r="M13">
        <v>0.1</v>
      </c>
      <c r="N13">
        <v>1116.4000000000001</v>
      </c>
      <c r="O13" t="s">
        <v>30</v>
      </c>
    </row>
    <row r="14" spans="1:15" x14ac:dyDescent="0.2">
      <c r="A14" t="s">
        <v>70</v>
      </c>
      <c r="B14" s="1">
        <v>45617</v>
      </c>
      <c r="C14" t="s">
        <v>44</v>
      </c>
      <c r="D14" t="s">
        <v>71</v>
      </c>
      <c r="E14" t="s">
        <v>72</v>
      </c>
      <c r="F14" t="s">
        <v>28</v>
      </c>
      <c r="G14" t="s">
        <v>57</v>
      </c>
      <c r="H14" t="s">
        <v>66</v>
      </c>
      <c r="I14" t="s">
        <v>73</v>
      </c>
      <c r="J14">
        <v>7</v>
      </c>
      <c r="K14">
        <v>354.21</v>
      </c>
      <c r="L14">
        <v>2479.4699999999998</v>
      </c>
      <c r="M14">
        <v>0.1</v>
      </c>
      <c r="N14">
        <v>240.65</v>
      </c>
      <c r="O14" t="s">
        <v>23</v>
      </c>
    </row>
    <row r="15" spans="1:15" x14ac:dyDescent="0.2">
      <c r="A15" t="s">
        <v>74</v>
      </c>
      <c r="B15" s="1">
        <v>45781</v>
      </c>
      <c r="C15" t="s">
        <v>44</v>
      </c>
      <c r="D15" t="s">
        <v>51</v>
      </c>
      <c r="E15" t="s">
        <v>46</v>
      </c>
      <c r="F15" t="s">
        <v>35</v>
      </c>
      <c r="G15" t="s">
        <v>36</v>
      </c>
      <c r="H15" t="s">
        <v>21</v>
      </c>
      <c r="I15" t="s">
        <v>22</v>
      </c>
      <c r="J15">
        <v>5</v>
      </c>
      <c r="K15">
        <v>809.28</v>
      </c>
      <c r="L15">
        <v>4046.4</v>
      </c>
      <c r="M15">
        <v>0.2</v>
      </c>
      <c r="N15">
        <v>179.53</v>
      </c>
      <c r="O15" t="s">
        <v>30</v>
      </c>
    </row>
    <row r="16" spans="1:15" x14ac:dyDescent="0.2">
      <c r="A16" t="s">
        <v>75</v>
      </c>
      <c r="B16" s="1">
        <v>45619</v>
      </c>
      <c r="C16" t="s">
        <v>25</v>
      </c>
      <c r="D16" t="s">
        <v>76</v>
      </c>
      <c r="E16" t="s">
        <v>18</v>
      </c>
      <c r="F16" t="s">
        <v>19</v>
      </c>
      <c r="G16" t="s">
        <v>57</v>
      </c>
      <c r="H16" t="s">
        <v>47</v>
      </c>
      <c r="I16" t="s">
        <v>77</v>
      </c>
      <c r="J16">
        <v>10</v>
      </c>
      <c r="K16">
        <v>282.41000000000003</v>
      </c>
      <c r="L16">
        <v>2824.1</v>
      </c>
      <c r="M16">
        <v>0.1</v>
      </c>
      <c r="N16">
        <v>134.30000000000001</v>
      </c>
      <c r="O16" t="s">
        <v>37</v>
      </c>
    </row>
    <row r="17" spans="1:15" x14ac:dyDescent="0.2">
      <c r="A17" t="s">
        <v>78</v>
      </c>
      <c r="B17" s="1">
        <v>45454</v>
      </c>
      <c r="C17" t="s">
        <v>25</v>
      </c>
      <c r="D17" t="s">
        <v>17</v>
      </c>
      <c r="E17" t="s">
        <v>18</v>
      </c>
      <c r="F17" t="s">
        <v>19</v>
      </c>
      <c r="G17" t="s">
        <v>36</v>
      </c>
      <c r="H17" t="s">
        <v>21</v>
      </c>
      <c r="I17" t="s">
        <v>79</v>
      </c>
      <c r="J17">
        <v>4</v>
      </c>
      <c r="K17">
        <v>485.95</v>
      </c>
      <c r="L17">
        <v>1943.8</v>
      </c>
      <c r="M17">
        <v>0.2</v>
      </c>
      <c r="N17">
        <v>345.85</v>
      </c>
      <c r="O17" t="s">
        <v>23</v>
      </c>
    </row>
    <row r="18" spans="1:15" x14ac:dyDescent="0.2">
      <c r="A18" t="s">
        <v>80</v>
      </c>
      <c r="B18" s="1">
        <v>45720</v>
      </c>
      <c r="C18" t="s">
        <v>16</v>
      </c>
      <c r="D18" t="s">
        <v>76</v>
      </c>
      <c r="E18" t="s">
        <v>18</v>
      </c>
      <c r="F18" t="s">
        <v>19</v>
      </c>
      <c r="G18" t="s">
        <v>57</v>
      </c>
      <c r="H18" t="s">
        <v>66</v>
      </c>
      <c r="I18" t="s">
        <v>81</v>
      </c>
      <c r="J18">
        <v>4</v>
      </c>
      <c r="K18">
        <v>661.35</v>
      </c>
      <c r="L18">
        <v>2645.4</v>
      </c>
      <c r="M18">
        <v>0.05</v>
      </c>
      <c r="N18">
        <v>231.64</v>
      </c>
      <c r="O18" t="s">
        <v>49</v>
      </c>
    </row>
    <row r="19" spans="1:15" x14ac:dyDescent="0.2">
      <c r="A19" t="s">
        <v>82</v>
      </c>
      <c r="B19" s="1">
        <v>45542</v>
      </c>
      <c r="C19" t="s">
        <v>39</v>
      </c>
      <c r="D19" t="s">
        <v>45</v>
      </c>
      <c r="E19" t="s">
        <v>46</v>
      </c>
      <c r="F19" t="s">
        <v>35</v>
      </c>
      <c r="G19" t="s">
        <v>57</v>
      </c>
      <c r="H19" t="s">
        <v>66</v>
      </c>
      <c r="I19" t="s">
        <v>81</v>
      </c>
      <c r="J19">
        <v>8</v>
      </c>
      <c r="K19">
        <v>302.76</v>
      </c>
      <c r="L19">
        <v>2422.08</v>
      </c>
      <c r="M19">
        <v>0.2</v>
      </c>
      <c r="N19">
        <v>187.43</v>
      </c>
      <c r="O19" t="s">
        <v>49</v>
      </c>
    </row>
    <row r="20" spans="1:15" x14ac:dyDescent="0.2">
      <c r="A20" t="s">
        <v>83</v>
      </c>
      <c r="B20" s="1">
        <v>45457</v>
      </c>
      <c r="C20" t="s">
        <v>32</v>
      </c>
      <c r="D20" t="s">
        <v>51</v>
      </c>
      <c r="E20" t="s">
        <v>46</v>
      </c>
      <c r="F20" t="s">
        <v>35</v>
      </c>
      <c r="G20" t="s">
        <v>57</v>
      </c>
      <c r="H20" t="s">
        <v>47</v>
      </c>
      <c r="I20" t="s">
        <v>58</v>
      </c>
      <c r="J20">
        <v>7</v>
      </c>
      <c r="K20">
        <v>679.14</v>
      </c>
      <c r="L20">
        <v>4753.9799999999996</v>
      </c>
      <c r="M20">
        <v>0.2</v>
      </c>
      <c r="N20">
        <v>709.58</v>
      </c>
      <c r="O20" t="s">
        <v>49</v>
      </c>
    </row>
    <row r="21" spans="1:15" x14ac:dyDescent="0.2">
      <c r="A21" t="s">
        <v>84</v>
      </c>
      <c r="B21" s="1">
        <v>45638</v>
      </c>
      <c r="C21" t="s">
        <v>25</v>
      </c>
      <c r="D21" t="s">
        <v>40</v>
      </c>
      <c r="E21" t="s">
        <v>34</v>
      </c>
      <c r="F21" t="s">
        <v>35</v>
      </c>
      <c r="G21" t="s">
        <v>57</v>
      </c>
      <c r="H21" t="s">
        <v>21</v>
      </c>
      <c r="I21" t="s">
        <v>52</v>
      </c>
      <c r="J21">
        <v>2</v>
      </c>
      <c r="K21">
        <v>256.83</v>
      </c>
      <c r="L21">
        <v>513.66</v>
      </c>
      <c r="M21">
        <v>0.2</v>
      </c>
      <c r="N21">
        <v>52.69</v>
      </c>
      <c r="O21" t="s">
        <v>23</v>
      </c>
    </row>
    <row r="22" spans="1:15" x14ac:dyDescent="0.2">
      <c r="A22" t="s">
        <v>85</v>
      </c>
      <c r="B22" s="1">
        <v>45700</v>
      </c>
      <c r="C22" t="s">
        <v>39</v>
      </c>
      <c r="D22" t="s">
        <v>17</v>
      </c>
      <c r="E22" t="s">
        <v>18</v>
      </c>
      <c r="F22" t="s">
        <v>19</v>
      </c>
      <c r="G22" t="s">
        <v>57</v>
      </c>
      <c r="H22" t="s">
        <v>41</v>
      </c>
      <c r="I22" t="s">
        <v>86</v>
      </c>
      <c r="J22">
        <v>1</v>
      </c>
      <c r="K22">
        <v>832.03</v>
      </c>
      <c r="L22">
        <v>832.03</v>
      </c>
      <c r="M22">
        <v>0</v>
      </c>
      <c r="N22">
        <v>110.04</v>
      </c>
      <c r="O22" t="s">
        <v>30</v>
      </c>
    </row>
    <row r="23" spans="1:15" x14ac:dyDescent="0.2">
      <c r="A23" t="s">
        <v>87</v>
      </c>
      <c r="B23" s="1">
        <v>45719</v>
      </c>
      <c r="C23" t="s">
        <v>25</v>
      </c>
      <c r="D23" t="s">
        <v>51</v>
      </c>
      <c r="E23" t="s">
        <v>46</v>
      </c>
      <c r="F23" t="s">
        <v>35</v>
      </c>
      <c r="G23" t="s">
        <v>36</v>
      </c>
      <c r="H23" t="s">
        <v>21</v>
      </c>
      <c r="I23" t="s">
        <v>29</v>
      </c>
      <c r="J23">
        <v>1</v>
      </c>
      <c r="K23">
        <v>620.16</v>
      </c>
      <c r="L23">
        <v>620.16</v>
      </c>
      <c r="M23">
        <v>0</v>
      </c>
      <c r="N23">
        <v>147.41</v>
      </c>
      <c r="O23" t="s">
        <v>30</v>
      </c>
    </row>
    <row r="24" spans="1:15" x14ac:dyDescent="0.2">
      <c r="A24" t="s">
        <v>88</v>
      </c>
      <c r="B24" s="1">
        <v>45594</v>
      </c>
      <c r="C24" t="s">
        <v>32</v>
      </c>
      <c r="D24" t="s">
        <v>69</v>
      </c>
      <c r="E24" t="s">
        <v>27</v>
      </c>
      <c r="F24" t="s">
        <v>28</v>
      </c>
      <c r="G24" t="s">
        <v>20</v>
      </c>
      <c r="H24" t="s">
        <v>41</v>
      </c>
      <c r="I24" t="s">
        <v>86</v>
      </c>
      <c r="J24">
        <v>7</v>
      </c>
      <c r="K24">
        <v>657.08</v>
      </c>
      <c r="L24">
        <v>4599.5600000000004</v>
      </c>
      <c r="M24">
        <v>0.2</v>
      </c>
      <c r="N24">
        <v>775.08</v>
      </c>
      <c r="O24" t="s">
        <v>37</v>
      </c>
    </row>
    <row r="25" spans="1:15" x14ac:dyDescent="0.2">
      <c r="A25" t="s">
        <v>89</v>
      </c>
      <c r="B25" s="1">
        <v>45488</v>
      </c>
      <c r="C25" t="s">
        <v>16</v>
      </c>
      <c r="D25" t="s">
        <v>90</v>
      </c>
      <c r="E25" t="s">
        <v>91</v>
      </c>
      <c r="F25" t="s">
        <v>19</v>
      </c>
      <c r="G25" t="s">
        <v>20</v>
      </c>
      <c r="H25" t="s">
        <v>41</v>
      </c>
      <c r="I25" t="s">
        <v>63</v>
      </c>
      <c r="J25">
        <v>8</v>
      </c>
      <c r="K25">
        <v>922.85</v>
      </c>
      <c r="L25">
        <v>7382.8</v>
      </c>
      <c r="M25">
        <v>0.1</v>
      </c>
      <c r="N25">
        <v>1354.63</v>
      </c>
      <c r="O25" t="s">
        <v>30</v>
      </c>
    </row>
    <row r="26" spans="1:15" x14ac:dyDescent="0.2">
      <c r="A26" t="s">
        <v>92</v>
      </c>
      <c r="B26" s="1">
        <v>45684</v>
      </c>
      <c r="C26" t="s">
        <v>32</v>
      </c>
      <c r="D26" t="s">
        <v>93</v>
      </c>
      <c r="E26" t="s">
        <v>61</v>
      </c>
      <c r="F26" t="s">
        <v>19</v>
      </c>
      <c r="G26" t="s">
        <v>57</v>
      </c>
      <c r="H26" t="s">
        <v>66</v>
      </c>
      <c r="I26" t="s">
        <v>67</v>
      </c>
      <c r="J26">
        <v>6</v>
      </c>
      <c r="K26">
        <v>995.97</v>
      </c>
      <c r="L26">
        <v>5975.82</v>
      </c>
      <c r="M26">
        <v>0.1</v>
      </c>
      <c r="N26">
        <v>1296.81</v>
      </c>
      <c r="O26" t="s">
        <v>49</v>
      </c>
    </row>
    <row r="27" spans="1:15" x14ac:dyDescent="0.2">
      <c r="A27" t="s">
        <v>94</v>
      </c>
      <c r="B27" s="1">
        <v>45600</v>
      </c>
      <c r="C27" t="s">
        <v>39</v>
      </c>
      <c r="D27" t="s">
        <v>95</v>
      </c>
      <c r="E27" t="s">
        <v>96</v>
      </c>
      <c r="F27" t="s">
        <v>56</v>
      </c>
      <c r="G27" t="s">
        <v>20</v>
      </c>
      <c r="H27" t="s">
        <v>66</v>
      </c>
      <c r="I27" t="s">
        <v>81</v>
      </c>
      <c r="J27">
        <v>3</v>
      </c>
      <c r="K27">
        <v>646.19000000000005</v>
      </c>
      <c r="L27">
        <v>1938.57</v>
      </c>
      <c r="M27">
        <v>0</v>
      </c>
      <c r="N27">
        <v>152.71</v>
      </c>
      <c r="O27" t="s">
        <v>49</v>
      </c>
    </row>
    <row r="28" spans="1:15" x14ac:dyDescent="0.2">
      <c r="A28" t="s">
        <v>97</v>
      </c>
      <c r="B28" s="1">
        <v>45754</v>
      </c>
      <c r="C28" t="s">
        <v>32</v>
      </c>
      <c r="D28" t="s">
        <v>71</v>
      </c>
      <c r="E28" t="s">
        <v>72</v>
      </c>
      <c r="F28" t="s">
        <v>28</v>
      </c>
      <c r="G28" t="s">
        <v>36</v>
      </c>
      <c r="H28" t="s">
        <v>47</v>
      </c>
      <c r="I28" t="s">
        <v>77</v>
      </c>
      <c r="J28">
        <v>2</v>
      </c>
      <c r="K28">
        <v>572.20000000000005</v>
      </c>
      <c r="L28">
        <v>1144.4000000000001</v>
      </c>
      <c r="M28">
        <v>0.1</v>
      </c>
      <c r="N28">
        <v>211.6</v>
      </c>
      <c r="O28" t="s">
        <v>30</v>
      </c>
    </row>
    <row r="29" spans="1:15" x14ac:dyDescent="0.2">
      <c r="A29" t="s">
        <v>98</v>
      </c>
      <c r="B29" s="1">
        <v>45541</v>
      </c>
      <c r="C29" t="s">
        <v>32</v>
      </c>
      <c r="D29" t="s">
        <v>76</v>
      </c>
      <c r="E29" t="s">
        <v>18</v>
      </c>
      <c r="F29" t="s">
        <v>19</v>
      </c>
      <c r="G29" t="s">
        <v>20</v>
      </c>
      <c r="H29" t="s">
        <v>21</v>
      </c>
      <c r="I29" t="s">
        <v>29</v>
      </c>
      <c r="J29">
        <v>5</v>
      </c>
      <c r="K29">
        <v>153.30000000000001</v>
      </c>
      <c r="L29">
        <v>766.5</v>
      </c>
      <c r="M29">
        <v>0.1</v>
      </c>
      <c r="N29">
        <v>159.30000000000001</v>
      </c>
      <c r="O29" t="s">
        <v>49</v>
      </c>
    </row>
    <row r="30" spans="1:15" x14ac:dyDescent="0.2">
      <c r="A30" t="s">
        <v>99</v>
      </c>
      <c r="B30" s="1">
        <v>45644</v>
      </c>
      <c r="C30" t="s">
        <v>32</v>
      </c>
      <c r="D30" t="s">
        <v>100</v>
      </c>
      <c r="E30" t="s">
        <v>101</v>
      </c>
      <c r="F30" t="s">
        <v>56</v>
      </c>
      <c r="G30" t="s">
        <v>20</v>
      </c>
      <c r="H30" t="s">
        <v>21</v>
      </c>
      <c r="I30" t="s">
        <v>29</v>
      </c>
      <c r="J30">
        <v>1</v>
      </c>
      <c r="K30">
        <v>385.66</v>
      </c>
      <c r="L30">
        <v>385.66</v>
      </c>
      <c r="M30">
        <v>0.15</v>
      </c>
      <c r="N30">
        <v>24.34</v>
      </c>
      <c r="O30" t="s">
        <v>37</v>
      </c>
    </row>
    <row r="31" spans="1:15" x14ac:dyDescent="0.2">
      <c r="A31" t="s">
        <v>102</v>
      </c>
      <c r="B31" s="1">
        <v>45453</v>
      </c>
      <c r="C31" t="s">
        <v>32</v>
      </c>
      <c r="D31" t="s">
        <v>33</v>
      </c>
      <c r="E31" t="s">
        <v>34</v>
      </c>
      <c r="F31" t="s">
        <v>35</v>
      </c>
      <c r="G31" t="s">
        <v>57</v>
      </c>
      <c r="H31" t="s">
        <v>66</v>
      </c>
      <c r="I31" t="s">
        <v>67</v>
      </c>
      <c r="J31">
        <v>2</v>
      </c>
      <c r="K31">
        <v>841.5</v>
      </c>
      <c r="L31">
        <v>1683</v>
      </c>
      <c r="M31">
        <v>0.1</v>
      </c>
      <c r="N31">
        <v>271.98</v>
      </c>
      <c r="O31" t="s">
        <v>23</v>
      </c>
    </row>
    <row r="32" spans="1:15" x14ac:dyDescent="0.2">
      <c r="A32" t="s">
        <v>103</v>
      </c>
      <c r="B32" s="1">
        <v>45628</v>
      </c>
      <c r="C32" t="s">
        <v>25</v>
      </c>
      <c r="D32" t="s">
        <v>104</v>
      </c>
      <c r="E32" t="s">
        <v>72</v>
      </c>
      <c r="F32" t="s">
        <v>28</v>
      </c>
      <c r="G32" t="s">
        <v>20</v>
      </c>
      <c r="H32" t="s">
        <v>41</v>
      </c>
      <c r="I32" t="s">
        <v>86</v>
      </c>
      <c r="J32">
        <v>2</v>
      </c>
      <c r="K32">
        <v>631.36</v>
      </c>
      <c r="L32">
        <v>1262.72</v>
      </c>
      <c r="M32">
        <v>0.1</v>
      </c>
      <c r="N32">
        <v>167.4</v>
      </c>
      <c r="O32" t="s">
        <v>49</v>
      </c>
    </row>
    <row r="33" spans="1:15" x14ac:dyDescent="0.2">
      <c r="A33" t="s">
        <v>105</v>
      </c>
      <c r="B33" s="1">
        <v>45483</v>
      </c>
      <c r="C33" t="s">
        <v>39</v>
      </c>
      <c r="D33" t="s">
        <v>60</v>
      </c>
      <c r="E33" t="s">
        <v>61</v>
      </c>
      <c r="F33" t="s">
        <v>19</v>
      </c>
      <c r="G33" t="s">
        <v>36</v>
      </c>
      <c r="H33" t="s">
        <v>47</v>
      </c>
      <c r="I33" t="s">
        <v>48</v>
      </c>
      <c r="J33">
        <v>8</v>
      </c>
      <c r="K33">
        <v>389.99</v>
      </c>
      <c r="L33">
        <v>3119.92</v>
      </c>
      <c r="M33">
        <v>0.2</v>
      </c>
      <c r="N33">
        <v>445.98</v>
      </c>
      <c r="O33" t="s">
        <v>37</v>
      </c>
    </row>
    <row r="34" spans="1:15" x14ac:dyDescent="0.2">
      <c r="A34" t="s">
        <v>106</v>
      </c>
      <c r="B34" s="1">
        <v>45617</v>
      </c>
      <c r="C34" t="s">
        <v>25</v>
      </c>
      <c r="D34" t="s">
        <v>107</v>
      </c>
      <c r="E34" t="s">
        <v>96</v>
      </c>
      <c r="F34" t="s">
        <v>56</v>
      </c>
      <c r="G34" t="s">
        <v>36</v>
      </c>
      <c r="H34" t="s">
        <v>47</v>
      </c>
      <c r="I34" t="s">
        <v>48</v>
      </c>
      <c r="J34">
        <v>1</v>
      </c>
      <c r="K34">
        <v>406.7</v>
      </c>
      <c r="L34">
        <v>406.7</v>
      </c>
      <c r="M34">
        <v>0.05</v>
      </c>
      <c r="N34">
        <v>81.69</v>
      </c>
      <c r="O34" t="s">
        <v>23</v>
      </c>
    </row>
    <row r="35" spans="1:15" x14ac:dyDescent="0.2">
      <c r="A35" t="s">
        <v>108</v>
      </c>
      <c r="B35" s="1">
        <v>45567</v>
      </c>
      <c r="C35" t="s">
        <v>32</v>
      </c>
      <c r="D35" t="s">
        <v>76</v>
      </c>
      <c r="E35" t="s">
        <v>18</v>
      </c>
      <c r="F35" t="s">
        <v>19</v>
      </c>
      <c r="G35" t="s">
        <v>36</v>
      </c>
      <c r="H35" t="s">
        <v>47</v>
      </c>
      <c r="I35" t="s">
        <v>48</v>
      </c>
      <c r="J35">
        <v>8</v>
      </c>
      <c r="K35">
        <v>654.52</v>
      </c>
      <c r="L35">
        <v>5236.16</v>
      </c>
      <c r="M35">
        <v>0.15</v>
      </c>
      <c r="N35">
        <v>1030.06</v>
      </c>
      <c r="O35" t="s">
        <v>37</v>
      </c>
    </row>
    <row r="36" spans="1:15" x14ac:dyDescent="0.2">
      <c r="A36" t="s">
        <v>109</v>
      </c>
      <c r="B36" s="1">
        <v>45470</v>
      </c>
      <c r="C36" t="s">
        <v>32</v>
      </c>
      <c r="D36" t="s">
        <v>60</v>
      </c>
      <c r="E36" t="s">
        <v>61</v>
      </c>
      <c r="F36" t="s">
        <v>19</v>
      </c>
      <c r="G36" t="s">
        <v>57</v>
      </c>
      <c r="H36" t="s">
        <v>21</v>
      </c>
      <c r="I36" t="s">
        <v>79</v>
      </c>
      <c r="J36">
        <v>8</v>
      </c>
      <c r="K36">
        <v>612</v>
      </c>
      <c r="L36">
        <v>4896</v>
      </c>
      <c r="M36">
        <v>0.2</v>
      </c>
      <c r="N36">
        <v>245.94</v>
      </c>
      <c r="O36" t="s">
        <v>30</v>
      </c>
    </row>
    <row r="37" spans="1:15" x14ac:dyDescent="0.2">
      <c r="A37" t="s">
        <v>110</v>
      </c>
      <c r="B37" s="1">
        <v>45776</v>
      </c>
      <c r="C37" t="s">
        <v>32</v>
      </c>
      <c r="D37" t="s">
        <v>54</v>
      </c>
      <c r="E37" t="s">
        <v>55</v>
      </c>
      <c r="F37" t="s">
        <v>56</v>
      </c>
      <c r="G37" t="s">
        <v>36</v>
      </c>
      <c r="H37" t="s">
        <v>21</v>
      </c>
      <c r="I37" t="s">
        <v>52</v>
      </c>
      <c r="J37">
        <v>6</v>
      </c>
      <c r="K37">
        <v>811.9</v>
      </c>
      <c r="L37">
        <v>4871.3999999999996</v>
      </c>
      <c r="M37">
        <v>0.15</v>
      </c>
      <c r="N37">
        <v>475.55</v>
      </c>
      <c r="O37" t="s">
        <v>49</v>
      </c>
    </row>
    <row r="38" spans="1:15" x14ac:dyDescent="0.2">
      <c r="A38" t="s">
        <v>111</v>
      </c>
      <c r="B38" s="1">
        <v>45539</v>
      </c>
      <c r="C38" t="s">
        <v>25</v>
      </c>
      <c r="D38" t="s">
        <v>60</v>
      </c>
      <c r="E38" t="s">
        <v>61</v>
      </c>
      <c r="F38" t="s">
        <v>19</v>
      </c>
      <c r="G38" t="s">
        <v>36</v>
      </c>
      <c r="H38" t="s">
        <v>41</v>
      </c>
      <c r="I38" t="s">
        <v>42</v>
      </c>
      <c r="J38">
        <v>5</v>
      </c>
      <c r="K38">
        <v>142.94999999999999</v>
      </c>
      <c r="L38">
        <v>714.75</v>
      </c>
      <c r="M38">
        <v>0.15</v>
      </c>
      <c r="N38">
        <v>50.8</v>
      </c>
      <c r="O38" t="s">
        <v>30</v>
      </c>
    </row>
    <row r="39" spans="1:15" x14ac:dyDescent="0.2">
      <c r="A39" t="s">
        <v>112</v>
      </c>
      <c r="B39" s="1">
        <v>45457</v>
      </c>
      <c r="C39" t="s">
        <v>44</v>
      </c>
      <c r="D39" t="s">
        <v>113</v>
      </c>
      <c r="E39" t="s">
        <v>91</v>
      </c>
      <c r="F39" t="s">
        <v>19</v>
      </c>
      <c r="G39" t="s">
        <v>36</v>
      </c>
      <c r="H39" t="s">
        <v>66</v>
      </c>
      <c r="I39" t="s">
        <v>73</v>
      </c>
      <c r="J39">
        <v>2</v>
      </c>
      <c r="K39">
        <v>791.47</v>
      </c>
      <c r="L39">
        <v>1582.94</v>
      </c>
      <c r="M39">
        <v>0.2</v>
      </c>
      <c r="N39">
        <v>158.58000000000001</v>
      </c>
      <c r="O39" t="s">
        <v>37</v>
      </c>
    </row>
    <row r="40" spans="1:15" x14ac:dyDescent="0.2">
      <c r="A40" t="s">
        <v>114</v>
      </c>
      <c r="B40" s="1">
        <v>45491</v>
      </c>
      <c r="C40" t="s">
        <v>32</v>
      </c>
      <c r="D40" t="s">
        <v>107</v>
      </c>
      <c r="E40" t="s">
        <v>96</v>
      </c>
      <c r="F40" t="s">
        <v>56</v>
      </c>
      <c r="G40" t="s">
        <v>36</v>
      </c>
      <c r="H40" t="s">
        <v>41</v>
      </c>
      <c r="I40" t="s">
        <v>63</v>
      </c>
      <c r="J40">
        <v>10</v>
      </c>
      <c r="K40">
        <v>887.14</v>
      </c>
      <c r="L40">
        <v>8871.4</v>
      </c>
      <c r="M40">
        <v>0.15</v>
      </c>
      <c r="N40">
        <v>1422.93</v>
      </c>
      <c r="O40" t="s">
        <v>30</v>
      </c>
    </row>
    <row r="41" spans="1:15" x14ac:dyDescent="0.2">
      <c r="A41" t="s">
        <v>115</v>
      </c>
      <c r="B41" s="1">
        <v>45538</v>
      </c>
      <c r="C41" t="s">
        <v>25</v>
      </c>
      <c r="D41" t="s">
        <v>60</v>
      </c>
      <c r="E41" t="s">
        <v>61</v>
      </c>
      <c r="F41" t="s">
        <v>19</v>
      </c>
      <c r="G41" t="s">
        <v>20</v>
      </c>
      <c r="H41" t="s">
        <v>47</v>
      </c>
      <c r="I41" t="s">
        <v>48</v>
      </c>
      <c r="J41">
        <v>7</v>
      </c>
      <c r="K41">
        <v>240.78</v>
      </c>
      <c r="L41">
        <v>1685.46</v>
      </c>
      <c r="M41">
        <v>0.05</v>
      </c>
      <c r="N41">
        <v>275.58</v>
      </c>
      <c r="O41" t="s">
        <v>49</v>
      </c>
    </row>
    <row r="42" spans="1:15" x14ac:dyDescent="0.2">
      <c r="A42" t="s">
        <v>116</v>
      </c>
      <c r="B42" s="1">
        <v>45513</v>
      </c>
      <c r="C42" t="s">
        <v>25</v>
      </c>
      <c r="D42" t="s">
        <v>54</v>
      </c>
      <c r="E42" t="s">
        <v>55</v>
      </c>
      <c r="F42" t="s">
        <v>56</v>
      </c>
      <c r="G42" t="s">
        <v>57</v>
      </c>
      <c r="H42" t="s">
        <v>21</v>
      </c>
      <c r="I42" t="s">
        <v>79</v>
      </c>
      <c r="J42">
        <v>1</v>
      </c>
      <c r="K42">
        <v>558.59</v>
      </c>
      <c r="L42">
        <v>558.59</v>
      </c>
      <c r="M42">
        <v>0.05</v>
      </c>
      <c r="N42">
        <v>39</v>
      </c>
      <c r="O42" t="s">
        <v>49</v>
      </c>
    </row>
    <row r="43" spans="1:15" x14ac:dyDescent="0.2">
      <c r="A43" t="s">
        <v>117</v>
      </c>
      <c r="B43" s="1">
        <v>45498</v>
      </c>
      <c r="C43" t="s">
        <v>25</v>
      </c>
      <c r="D43" t="s">
        <v>113</v>
      </c>
      <c r="E43" t="s">
        <v>91</v>
      </c>
      <c r="F43" t="s">
        <v>19</v>
      </c>
      <c r="G43" t="s">
        <v>36</v>
      </c>
      <c r="H43" t="s">
        <v>21</v>
      </c>
      <c r="I43" t="s">
        <v>22</v>
      </c>
      <c r="J43">
        <v>2</v>
      </c>
      <c r="K43">
        <v>797.02</v>
      </c>
      <c r="L43">
        <v>1594.04</v>
      </c>
      <c r="M43">
        <v>0.15</v>
      </c>
      <c r="N43">
        <v>202.57</v>
      </c>
      <c r="O43" t="s">
        <v>37</v>
      </c>
    </row>
    <row r="44" spans="1:15" x14ac:dyDescent="0.2">
      <c r="A44" t="s">
        <v>118</v>
      </c>
      <c r="B44" s="1">
        <v>45799</v>
      </c>
      <c r="C44" t="s">
        <v>25</v>
      </c>
      <c r="D44" t="s">
        <v>119</v>
      </c>
      <c r="E44" t="s">
        <v>120</v>
      </c>
      <c r="F44" t="s">
        <v>28</v>
      </c>
      <c r="G44" t="s">
        <v>36</v>
      </c>
      <c r="H44" t="s">
        <v>41</v>
      </c>
      <c r="I44" t="s">
        <v>86</v>
      </c>
      <c r="J44">
        <v>5</v>
      </c>
      <c r="K44">
        <v>335.63</v>
      </c>
      <c r="L44">
        <v>1678.15</v>
      </c>
      <c r="M44">
        <v>0.15</v>
      </c>
      <c r="N44">
        <v>83.68</v>
      </c>
      <c r="O44" t="s">
        <v>49</v>
      </c>
    </row>
    <row r="45" spans="1:15" x14ac:dyDescent="0.2">
      <c r="A45" t="s">
        <v>121</v>
      </c>
      <c r="B45" s="1">
        <v>45465</v>
      </c>
      <c r="C45" t="s">
        <v>44</v>
      </c>
      <c r="D45" t="s">
        <v>93</v>
      </c>
      <c r="E45" t="s">
        <v>61</v>
      </c>
      <c r="F45" t="s">
        <v>19</v>
      </c>
      <c r="G45" t="s">
        <v>36</v>
      </c>
      <c r="H45" t="s">
        <v>21</v>
      </c>
      <c r="I45" t="s">
        <v>79</v>
      </c>
      <c r="J45">
        <v>4</v>
      </c>
      <c r="K45">
        <v>721.96</v>
      </c>
      <c r="L45">
        <v>2887.84</v>
      </c>
      <c r="M45">
        <v>0.2</v>
      </c>
      <c r="N45">
        <v>383.4</v>
      </c>
      <c r="O45" t="s">
        <v>30</v>
      </c>
    </row>
    <row r="46" spans="1:15" x14ac:dyDescent="0.2">
      <c r="A46" t="s">
        <v>122</v>
      </c>
      <c r="B46" s="1">
        <v>45747</v>
      </c>
      <c r="C46" t="s">
        <v>25</v>
      </c>
      <c r="D46" t="s">
        <v>45</v>
      </c>
      <c r="E46" t="s">
        <v>46</v>
      </c>
      <c r="F46" t="s">
        <v>35</v>
      </c>
      <c r="G46" t="s">
        <v>36</v>
      </c>
      <c r="H46" t="s">
        <v>47</v>
      </c>
      <c r="I46" t="s">
        <v>77</v>
      </c>
      <c r="J46">
        <v>4</v>
      </c>
      <c r="K46">
        <v>738.27</v>
      </c>
      <c r="L46">
        <v>2953.08</v>
      </c>
      <c r="M46">
        <v>0.05</v>
      </c>
      <c r="N46">
        <v>350.98</v>
      </c>
      <c r="O46" t="s">
        <v>30</v>
      </c>
    </row>
    <row r="47" spans="1:15" x14ac:dyDescent="0.2">
      <c r="A47" t="s">
        <v>123</v>
      </c>
      <c r="B47" s="1">
        <v>45673</v>
      </c>
      <c r="C47" t="s">
        <v>32</v>
      </c>
      <c r="D47" t="s">
        <v>124</v>
      </c>
      <c r="E47" t="s">
        <v>55</v>
      </c>
      <c r="F47" t="s">
        <v>56</v>
      </c>
      <c r="G47" t="s">
        <v>57</v>
      </c>
      <c r="H47" t="s">
        <v>41</v>
      </c>
      <c r="I47" t="s">
        <v>63</v>
      </c>
      <c r="J47">
        <v>4</v>
      </c>
      <c r="K47">
        <v>928.03</v>
      </c>
      <c r="L47">
        <v>3712.12</v>
      </c>
      <c r="M47">
        <v>0.15</v>
      </c>
      <c r="N47">
        <v>270.13</v>
      </c>
      <c r="O47" t="s">
        <v>37</v>
      </c>
    </row>
    <row r="48" spans="1:15" x14ac:dyDescent="0.2">
      <c r="A48" t="s">
        <v>125</v>
      </c>
      <c r="B48" s="1">
        <v>45569</v>
      </c>
      <c r="C48" t="s">
        <v>25</v>
      </c>
      <c r="D48" t="s">
        <v>54</v>
      </c>
      <c r="E48" t="s">
        <v>55</v>
      </c>
      <c r="F48" t="s">
        <v>56</v>
      </c>
      <c r="G48" t="s">
        <v>57</v>
      </c>
      <c r="H48" t="s">
        <v>66</v>
      </c>
      <c r="I48" t="s">
        <v>81</v>
      </c>
      <c r="J48">
        <v>6</v>
      </c>
      <c r="K48">
        <v>128.96</v>
      </c>
      <c r="L48">
        <v>773.76</v>
      </c>
      <c r="M48">
        <v>0.2</v>
      </c>
      <c r="N48">
        <v>38.340000000000003</v>
      </c>
      <c r="O48" t="s">
        <v>37</v>
      </c>
    </row>
    <row r="49" spans="1:15" x14ac:dyDescent="0.2">
      <c r="A49" t="s">
        <v>126</v>
      </c>
      <c r="B49" s="1">
        <v>45803</v>
      </c>
      <c r="C49" t="s">
        <v>39</v>
      </c>
      <c r="D49" t="s">
        <v>100</v>
      </c>
      <c r="E49" t="s">
        <v>101</v>
      </c>
      <c r="F49" t="s">
        <v>56</v>
      </c>
      <c r="G49" t="s">
        <v>57</v>
      </c>
      <c r="H49" t="s">
        <v>41</v>
      </c>
      <c r="I49" t="s">
        <v>63</v>
      </c>
      <c r="J49">
        <v>5</v>
      </c>
      <c r="K49">
        <v>604.42999999999995</v>
      </c>
      <c r="L49">
        <v>3022.15</v>
      </c>
      <c r="M49">
        <v>0.2</v>
      </c>
      <c r="N49">
        <v>558.77</v>
      </c>
      <c r="O49" t="s">
        <v>37</v>
      </c>
    </row>
    <row r="50" spans="1:15" x14ac:dyDescent="0.2">
      <c r="A50" t="s">
        <v>127</v>
      </c>
      <c r="B50" s="1">
        <v>45711</v>
      </c>
      <c r="C50" t="s">
        <v>39</v>
      </c>
      <c r="D50" t="s">
        <v>124</v>
      </c>
      <c r="E50" t="s">
        <v>55</v>
      </c>
      <c r="F50" t="s">
        <v>56</v>
      </c>
      <c r="G50" t="s">
        <v>20</v>
      </c>
      <c r="H50" t="s">
        <v>41</v>
      </c>
      <c r="I50" t="s">
        <v>63</v>
      </c>
      <c r="J50">
        <v>8</v>
      </c>
      <c r="K50">
        <v>280.61</v>
      </c>
      <c r="L50">
        <v>2244.88</v>
      </c>
      <c r="M50">
        <v>0.15</v>
      </c>
      <c r="N50">
        <v>376.36</v>
      </c>
      <c r="O50" t="s">
        <v>49</v>
      </c>
    </row>
    <row r="51" spans="1:15" x14ac:dyDescent="0.2">
      <c r="A51" t="s">
        <v>128</v>
      </c>
      <c r="B51" s="1">
        <v>45452</v>
      </c>
      <c r="C51" t="s">
        <v>44</v>
      </c>
      <c r="D51" t="s">
        <v>33</v>
      </c>
      <c r="E51" t="s">
        <v>34</v>
      </c>
      <c r="F51" t="s">
        <v>35</v>
      </c>
      <c r="G51" t="s">
        <v>36</v>
      </c>
      <c r="H51" t="s">
        <v>41</v>
      </c>
      <c r="I51" t="s">
        <v>63</v>
      </c>
      <c r="J51">
        <v>7</v>
      </c>
      <c r="K51">
        <v>980.22</v>
      </c>
      <c r="L51">
        <v>6861.54</v>
      </c>
      <c r="M51">
        <v>0</v>
      </c>
      <c r="N51">
        <v>1703.41</v>
      </c>
      <c r="O51" t="s">
        <v>30</v>
      </c>
    </row>
    <row r="52" spans="1:15" x14ac:dyDescent="0.2">
      <c r="A52" t="s">
        <v>129</v>
      </c>
      <c r="B52" s="1">
        <v>45489</v>
      </c>
      <c r="C52" t="s">
        <v>16</v>
      </c>
      <c r="D52" t="s">
        <v>130</v>
      </c>
      <c r="E52" t="s">
        <v>101</v>
      </c>
      <c r="F52" t="s">
        <v>56</v>
      </c>
      <c r="G52" t="s">
        <v>57</v>
      </c>
      <c r="H52" t="s">
        <v>21</v>
      </c>
      <c r="I52" t="s">
        <v>29</v>
      </c>
      <c r="J52">
        <v>2</v>
      </c>
      <c r="K52">
        <v>559.37</v>
      </c>
      <c r="L52">
        <v>1118.74</v>
      </c>
      <c r="M52">
        <v>0</v>
      </c>
      <c r="N52">
        <v>211.03</v>
      </c>
      <c r="O52" t="s">
        <v>37</v>
      </c>
    </row>
    <row r="53" spans="1:15" x14ac:dyDescent="0.2">
      <c r="A53" t="s">
        <v>131</v>
      </c>
      <c r="B53" s="1">
        <v>45644</v>
      </c>
      <c r="C53" t="s">
        <v>39</v>
      </c>
      <c r="D53" t="s">
        <v>90</v>
      </c>
      <c r="E53" t="s">
        <v>91</v>
      </c>
      <c r="F53" t="s">
        <v>19</v>
      </c>
      <c r="G53" t="s">
        <v>20</v>
      </c>
      <c r="H53" t="s">
        <v>47</v>
      </c>
      <c r="I53" t="s">
        <v>77</v>
      </c>
      <c r="J53">
        <v>1</v>
      </c>
      <c r="K53">
        <v>480.82</v>
      </c>
      <c r="L53">
        <v>480.82</v>
      </c>
      <c r="M53">
        <v>0.1</v>
      </c>
      <c r="N53">
        <v>35.64</v>
      </c>
      <c r="O53" t="s">
        <v>30</v>
      </c>
    </row>
    <row r="54" spans="1:15" x14ac:dyDescent="0.2">
      <c r="A54" t="s">
        <v>132</v>
      </c>
      <c r="B54" s="1">
        <v>45584</v>
      </c>
      <c r="C54" t="s">
        <v>39</v>
      </c>
      <c r="D54" t="s">
        <v>71</v>
      </c>
      <c r="E54" t="s">
        <v>72</v>
      </c>
      <c r="F54" t="s">
        <v>28</v>
      </c>
      <c r="G54" t="s">
        <v>20</v>
      </c>
      <c r="H54" t="s">
        <v>47</v>
      </c>
      <c r="I54" t="s">
        <v>48</v>
      </c>
      <c r="J54">
        <v>3</v>
      </c>
      <c r="K54">
        <v>790.28</v>
      </c>
      <c r="L54">
        <v>2370.84</v>
      </c>
      <c r="M54">
        <v>0.1</v>
      </c>
      <c r="N54">
        <v>374.18</v>
      </c>
      <c r="O54" t="s">
        <v>49</v>
      </c>
    </row>
    <row r="55" spans="1:15" x14ac:dyDescent="0.2">
      <c r="A55" t="s">
        <v>133</v>
      </c>
      <c r="B55" s="1">
        <v>45489</v>
      </c>
      <c r="C55" t="s">
        <v>44</v>
      </c>
      <c r="D55" t="s">
        <v>124</v>
      </c>
      <c r="E55" t="s">
        <v>55</v>
      </c>
      <c r="F55" t="s">
        <v>56</v>
      </c>
      <c r="G55" t="s">
        <v>36</v>
      </c>
      <c r="H55" t="s">
        <v>21</v>
      </c>
      <c r="I55" t="s">
        <v>52</v>
      </c>
      <c r="J55">
        <v>7</v>
      </c>
      <c r="K55">
        <v>753.38</v>
      </c>
      <c r="L55">
        <v>5273.66</v>
      </c>
      <c r="M55">
        <v>0.2</v>
      </c>
      <c r="N55">
        <v>668.65</v>
      </c>
      <c r="O55" t="s">
        <v>23</v>
      </c>
    </row>
    <row r="56" spans="1:15" x14ac:dyDescent="0.2">
      <c r="A56" t="s">
        <v>134</v>
      </c>
      <c r="B56" s="1">
        <v>45568</v>
      </c>
      <c r="C56" t="s">
        <v>32</v>
      </c>
      <c r="D56" t="s">
        <v>26</v>
      </c>
      <c r="E56" t="s">
        <v>27</v>
      </c>
      <c r="F56" t="s">
        <v>28</v>
      </c>
      <c r="G56" t="s">
        <v>20</v>
      </c>
      <c r="H56" t="s">
        <v>41</v>
      </c>
      <c r="I56" t="s">
        <v>86</v>
      </c>
      <c r="J56">
        <v>1</v>
      </c>
      <c r="K56">
        <v>112.74</v>
      </c>
      <c r="L56">
        <v>112.74</v>
      </c>
      <c r="M56">
        <v>0.1</v>
      </c>
      <c r="N56">
        <v>14.52</v>
      </c>
      <c r="O56" t="s">
        <v>23</v>
      </c>
    </row>
    <row r="57" spans="1:15" x14ac:dyDescent="0.2">
      <c r="A57" t="s">
        <v>135</v>
      </c>
      <c r="B57" s="1">
        <v>45505</v>
      </c>
      <c r="C57" t="s">
        <v>44</v>
      </c>
      <c r="D57" t="s">
        <v>45</v>
      </c>
      <c r="E57" t="s">
        <v>46</v>
      </c>
      <c r="F57" t="s">
        <v>35</v>
      </c>
      <c r="G57" t="s">
        <v>20</v>
      </c>
      <c r="H57" t="s">
        <v>21</v>
      </c>
      <c r="I57" t="s">
        <v>22</v>
      </c>
      <c r="J57">
        <v>3</v>
      </c>
      <c r="K57">
        <v>981.29</v>
      </c>
      <c r="L57">
        <v>2943.87</v>
      </c>
      <c r="M57">
        <v>0.05</v>
      </c>
      <c r="N57">
        <v>441.67</v>
      </c>
      <c r="O57" t="s">
        <v>37</v>
      </c>
    </row>
    <row r="58" spans="1:15" x14ac:dyDescent="0.2">
      <c r="A58" t="s">
        <v>136</v>
      </c>
      <c r="B58" s="1">
        <v>45750</v>
      </c>
      <c r="C58" t="s">
        <v>25</v>
      </c>
      <c r="D58" t="s">
        <v>76</v>
      </c>
      <c r="E58" t="s">
        <v>18</v>
      </c>
      <c r="F58" t="s">
        <v>19</v>
      </c>
      <c r="G58" t="s">
        <v>57</v>
      </c>
      <c r="H58" t="s">
        <v>47</v>
      </c>
      <c r="I58" t="s">
        <v>48</v>
      </c>
      <c r="J58">
        <v>9</v>
      </c>
      <c r="K58">
        <v>680.87</v>
      </c>
      <c r="L58">
        <v>6127.83</v>
      </c>
      <c r="M58">
        <v>0.1</v>
      </c>
      <c r="N58">
        <v>335.82</v>
      </c>
      <c r="O58" t="s">
        <v>23</v>
      </c>
    </row>
    <row r="59" spans="1:15" x14ac:dyDescent="0.2">
      <c r="A59" t="s">
        <v>137</v>
      </c>
      <c r="B59" s="1">
        <v>45569</v>
      </c>
      <c r="C59" t="s">
        <v>16</v>
      </c>
      <c r="D59" t="s">
        <v>130</v>
      </c>
      <c r="E59" t="s">
        <v>101</v>
      </c>
      <c r="F59" t="s">
        <v>56</v>
      </c>
      <c r="G59" t="s">
        <v>20</v>
      </c>
      <c r="H59" t="s">
        <v>66</v>
      </c>
      <c r="I59" t="s">
        <v>67</v>
      </c>
      <c r="J59">
        <v>8</v>
      </c>
      <c r="K59">
        <v>621.71</v>
      </c>
      <c r="L59">
        <v>4973.68</v>
      </c>
      <c r="M59">
        <v>0</v>
      </c>
      <c r="N59">
        <v>436.05</v>
      </c>
      <c r="O59" t="s">
        <v>23</v>
      </c>
    </row>
    <row r="60" spans="1:15" x14ac:dyDescent="0.2">
      <c r="A60" t="s">
        <v>138</v>
      </c>
      <c r="B60" s="1">
        <v>45464</v>
      </c>
      <c r="C60" t="s">
        <v>25</v>
      </c>
      <c r="D60" t="s">
        <v>104</v>
      </c>
      <c r="E60" t="s">
        <v>72</v>
      </c>
      <c r="F60" t="s">
        <v>28</v>
      </c>
      <c r="G60" t="s">
        <v>36</v>
      </c>
      <c r="H60" t="s">
        <v>47</v>
      </c>
      <c r="I60" t="s">
        <v>77</v>
      </c>
      <c r="J60">
        <v>3</v>
      </c>
      <c r="K60">
        <v>277.39</v>
      </c>
      <c r="L60">
        <v>832.17</v>
      </c>
      <c r="M60">
        <v>0.05</v>
      </c>
      <c r="N60">
        <v>118</v>
      </c>
      <c r="O60" t="s">
        <v>30</v>
      </c>
    </row>
    <row r="61" spans="1:15" x14ac:dyDescent="0.2">
      <c r="A61" t="s">
        <v>139</v>
      </c>
      <c r="B61" s="1">
        <v>45718</v>
      </c>
      <c r="C61" t="s">
        <v>44</v>
      </c>
      <c r="D61" t="s">
        <v>71</v>
      </c>
      <c r="E61" t="s">
        <v>72</v>
      </c>
      <c r="F61" t="s">
        <v>28</v>
      </c>
      <c r="G61" t="s">
        <v>36</v>
      </c>
      <c r="H61" t="s">
        <v>41</v>
      </c>
      <c r="I61" t="s">
        <v>86</v>
      </c>
      <c r="J61">
        <v>6</v>
      </c>
      <c r="K61">
        <v>421.29</v>
      </c>
      <c r="L61">
        <v>2527.7399999999998</v>
      </c>
      <c r="M61">
        <v>0</v>
      </c>
      <c r="N61">
        <v>273.76</v>
      </c>
      <c r="O61" t="s">
        <v>49</v>
      </c>
    </row>
    <row r="62" spans="1:15" x14ac:dyDescent="0.2">
      <c r="A62" t="s">
        <v>140</v>
      </c>
      <c r="B62" s="1">
        <v>45748</v>
      </c>
      <c r="C62" t="s">
        <v>16</v>
      </c>
      <c r="D62" t="s">
        <v>17</v>
      </c>
      <c r="E62" t="s">
        <v>18</v>
      </c>
      <c r="F62" t="s">
        <v>19</v>
      </c>
      <c r="G62" t="s">
        <v>20</v>
      </c>
      <c r="H62" t="s">
        <v>21</v>
      </c>
      <c r="I62" t="s">
        <v>52</v>
      </c>
      <c r="J62">
        <v>6</v>
      </c>
      <c r="K62">
        <v>487.18</v>
      </c>
      <c r="L62">
        <v>2923.08</v>
      </c>
      <c r="M62">
        <v>0.2</v>
      </c>
      <c r="N62">
        <v>510.68</v>
      </c>
      <c r="O62" t="s">
        <v>23</v>
      </c>
    </row>
    <row r="63" spans="1:15" x14ac:dyDescent="0.2">
      <c r="A63" t="s">
        <v>141</v>
      </c>
      <c r="B63" s="1">
        <v>45748</v>
      </c>
      <c r="C63" t="s">
        <v>25</v>
      </c>
      <c r="D63" t="s">
        <v>142</v>
      </c>
      <c r="E63" t="s">
        <v>143</v>
      </c>
      <c r="F63" t="s">
        <v>35</v>
      </c>
      <c r="G63" t="s">
        <v>36</v>
      </c>
      <c r="H63" t="s">
        <v>47</v>
      </c>
      <c r="I63" t="s">
        <v>58</v>
      </c>
      <c r="J63">
        <v>4</v>
      </c>
      <c r="K63">
        <v>485.27</v>
      </c>
      <c r="L63">
        <v>1941.08</v>
      </c>
      <c r="M63">
        <v>0.1</v>
      </c>
      <c r="N63">
        <v>356.29</v>
      </c>
      <c r="O63" t="s">
        <v>23</v>
      </c>
    </row>
    <row r="64" spans="1:15" x14ac:dyDescent="0.2">
      <c r="A64" t="s">
        <v>144</v>
      </c>
      <c r="B64" s="1">
        <v>45775</v>
      </c>
      <c r="C64" t="s">
        <v>39</v>
      </c>
      <c r="D64" t="s">
        <v>40</v>
      </c>
      <c r="E64" t="s">
        <v>34</v>
      </c>
      <c r="F64" t="s">
        <v>35</v>
      </c>
      <c r="G64" t="s">
        <v>20</v>
      </c>
      <c r="H64" t="s">
        <v>21</v>
      </c>
      <c r="I64" t="s">
        <v>79</v>
      </c>
      <c r="J64">
        <v>9</v>
      </c>
      <c r="K64">
        <v>286.68</v>
      </c>
      <c r="L64">
        <v>2580.12</v>
      </c>
      <c r="M64">
        <v>0.05</v>
      </c>
      <c r="N64">
        <v>534.02</v>
      </c>
      <c r="O64" t="s">
        <v>37</v>
      </c>
    </row>
    <row r="65" spans="1:15" x14ac:dyDescent="0.2">
      <c r="A65" t="s">
        <v>145</v>
      </c>
      <c r="B65" s="1">
        <v>45798</v>
      </c>
      <c r="C65" t="s">
        <v>25</v>
      </c>
      <c r="D65" t="s">
        <v>60</v>
      </c>
      <c r="E65" t="s">
        <v>61</v>
      </c>
      <c r="F65" t="s">
        <v>19</v>
      </c>
      <c r="G65" t="s">
        <v>20</v>
      </c>
      <c r="H65" t="s">
        <v>41</v>
      </c>
      <c r="I65" t="s">
        <v>63</v>
      </c>
      <c r="J65">
        <v>8</v>
      </c>
      <c r="K65">
        <v>261.89</v>
      </c>
      <c r="L65">
        <v>2095.12</v>
      </c>
      <c r="M65">
        <v>0.05</v>
      </c>
      <c r="N65">
        <v>181.18</v>
      </c>
      <c r="O65" t="s">
        <v>37</v>
      </c>
    </row>
    <row r="66" spans="1:15" x14ac:dyDescent="0.2">
      <c r="A66" t="s">
        <v>146</v>
      </c>
      <c r="B66" s="1">
        <v>45731</v>
      </c>
      <c r="C66" t="s">
        <v>16</v>
      </c>
      <c r="D66" t="s">
        <v>51</v>
      </c>
      <c r="E66" t="s">
        <v>46</v>
      </c>
      <c r="F66" t="s">
        <v>35</v>
      </c>
      <c r="G66" t="s">
        <v>20</v>
      </c>
      <c r="H66" t="s">
        <v>21</v>
      </c>
      <c r="I66" t="s">
        <v>22</v>
      </c>
      <c r="J66">
        <v>9</v>
      </c>
      <c r="K66">
        <v>302.95999999999998</v>
      </c>
      <c r="L66">
        <v>2726.64</v>
      </c>
      <c r="M66">
        <v>0</v>
      </c>
      <c r="N66">
        <v>356.95</v>
      </c>
      <c r="O66" t="s">
        <v>37</v>
      </c>
    </row>
    <row r="67" spans="1:15" x14ac:dyDescent="0.2">
      <c r="A67" t="s">
        <v>147</v>
      </c>
      <c r="B67" s="1">
        <v>45708</v>
      </c>
      <c r="C67" t="s">
        <v>32</v>
      </c>
      <c r="D67" t="s">
        <v>130</v>
      </c>
      <c r="E67" t="s">
        <v>101</v>
      </c>
      <c r="F67" t="s">
        <v>56</v>
      </c>
      <c r="G67" t="s">
        <v>20</v>
      </c>
      <c r="H67" t="s">
        <v>47</v>
      </c>
      <c r="I67" t="s">
        <v>77</v>
      </c>
      <c r="J67">
        <v>5</v>
      </c>
      <c r="K67">
        <v>474.96</v>
      </c>
      <c r="L67">
        <v>2374.8000000000002</v>
      </c>
      <c r="M67">
        <v>0.1</v>
      </c>
      <c r="N67">
        <v>521.34</v>
      </c>
      <c r="O67" t="s">
        <v>23</v>
      </c>
    </row>
    <row r="68" spans="1:15" x14ac:dyDescent="0.2">
      <c r="A68" t="s">
        <v>148</v>
      </c>
      <c r="B68" s="1">
        <v>45457</v>
      </c>
      <c r="C68" t="s">
        <v>16</v>
      </c>
      <c r="D68" t="s">
        <v>130</v>
      </c>
      <c r="E68" t="s">
        <v>101</v>
      </c>
      <c r="F68" t="s">
        <v>56</v>
      </c>
      <c r="G68" t="s">
        <v>36</v>
      </c>
      <c r="H68" t="s">
        <v>41</v>
      </c>
      <c r="I68" t="s">
        <v>86</v>
      </c>
      <c r="J68">
        <v>9</v>
      </c>
      <c r="K68">
        <v>118.64</v>
      </c>
      <c r="L68">
        <v>1067.76</v>
      </c>
      <c r="M68">
        <v>0</v>
      </c>
      <c r="N68">
        <v>139.16</v>
      </c>
      <c r="O68" t="s">
        <v>37</v>
      </c>
    </row>
    <row r="69" spans="1:15" x14ac:dyDescent="0.2">
      <c r="A69" t="s">
        <v>149</v>
      </c>
      <c r="B69" s="1">
        <v>45513</v>
      </c>
      <c r="C69" t="s">
        <v>32</v>
      </c>
      <c r="D69" t="s">
        <v>51</v>
      </c>
      <c r="E69" t="s">
        <v>46</v>
      </c>
      <c r="F69" t="s">
        <v>35</v>
      </c>
      <c r="G69" t="s">
        <v>20</v>
      </c>
      <c r="H69" t="s">
        <v>41</v>
      </c>
      <c r="I69" t="s">
        <v>42</v>
      </c>
      <c r="J69">
        <v>10</v>
      </c>
      <c r="K69">
        <v>527.38</v>
      </c>
      <c r="L69">
        <v>5273.8</v>
      </c>
      <c r="M69">
        <v>0.1</v>
      </c>
      <c r="N69">
        <v>423.11</v>
      </c>
      <c r="O69" t="s">
        <v>37</v>
      </c>
    </row>
    <row r="70" spans="1:15" x14ac:dyDescent="0.2">
      <c r="A70" t="s">
        <v>150</v>
      </c>
      <c r="B70" s="1">
        <v>45666</v>
      </c>
      <c r="C70" t="s">
        <v>39</v>
      </c>
      <c r="D70" t="s">
        <v>26</v>
      </c>
      <c r="E70" t="s">
        <v>27</v>
      </c>
      <c r="F70" t="s">
        <v>28</v>
      </c>
      <c r="G70" t="s">
        <v>57</v>
      </c>
      <c r="H70" t="s">
        <v>21</v>
      </c>
      <c r="I70" t="s">
        <v>29</v>
      </c>
      <c r="J70">
        <v>10</v>
      </c>
      <c r="K70">
        <v>605.87</v>
      </c>
      <c r="L70">
        <v>6058.7</v>
      </c>
      <c r="M70">
        <v>0</v>
      </c>
      <c r="N70">
        <v>1403.74</v>
      </c>
      <c r="O70" t="s">
        <v>23</v>
      </c>
    </row>
    <row r="71" spans="1:15" x14ac:dyDescent="0.2">
      <c r="A71" t="s">
        <v>151</v>
      </c>
      <c r="B71" s="1">
        <v>45469</v>
      </c>
      <c r="C71" t="s">
        <v>25</v>
      </c>
      <c r="D71" t="s">
        <v>17</v>
      </c>
      <c r="E71" t="s">
        <v>18</v>
      </c>
      <c r="F71" t="s">
        <v>19</v>
      </c>
      <c r="G71" t="s">
        <v>57</v>
      </c>
      <c r="H71" t="s">
        <v>66</v>
      </c>
      <c r="I71" t="s">
        <v>67</v>
      </c>
      <c r="J71">
        <v>1</v>
      </c>
      <c r="K71">
        <v>286.08</v>
      </c>
      <c r="L71">
        <v>286.08</v>
      </c>
      <c r="M71">
        <v>0.1</v>
      </c>
      <c r="N71">
        <v>28.74</v>
      </c>
      <c r="O71" t="s">
        <v>23</v>
      </c>
    </row>
    <row r="72" spans="1:15" x14ac:dyDescent="0.2">
      <c r="A72" t="s">
        <v>152</v>
      </c>
      <c r="B72" s="1">
        <v>45487</v>
      </c>
      <c r="C72" t="s">
        <v>16</v>
      </c>
      <c r="D72" t="s">
        <v>119</v>
      </c>
      <c r="E72" t="s">
        <v>120</v>
      </c>
      <c r="F72" t="s">
        <v>28</v>
      </c>
      <c r="G72" t="s">
        <v>57</v>
      </c>
      <c r="H72" t="s">
        <v>47</v>
      </c>
      <c r="I72" t="s">
        <v>48</v>
      </c>
      <c r="J72">
        <v>3</v>
      </c>
      <c r="K72">
        <v>806.06</v>
      </c>
      <c r="L72">
        <v>2418.1799999999998</v>
      </c>
      <c r="M72">
        <v>0.15</v>
      </c>
      <c r="N72">
        <v>402.3</v>
      </c>
      <c r="O72" t="s">
        <v>23</v>
      </c>
    </row>
    <row r="73" spans="1:15" x14ac:dyDescent="0.2">
      <c r="A73" t="s">
        <v>153</v>
      </c>
      <c r="B73" s="1">
        <v>45578</v>
      </c>
      <c r="C73" t="s">
        <v>25</v>
      </c>
      <c r="D73" t="s">
        <v>154</v>
      </c>
      <c r="E73" t="s">
        <v>120</v>
      </c>
      <c r="F73" t="s">
        <v>28</v>
      </c>
      <c r="G73" t="s">
        <v>57</v>
      </c>
      <c r="H73" t="s">
        <v>47</v>
      </c>
      <c r="I73" t="s">
        <v>77</v>
      </c>
      <c r="J73">
        <v>2</v>
      </c>
      <c r="K73">
        <v>933.29</v>
      </c>
      <c r="L73">
        <v>1866.58</v>
      </c>
      <c r="M73">
        <v>0.2</v>
      </c>
      <c r="N73">
        <v>300.48</v>
      </c>
      <c r="O73" t="s">
        <v>23</v>
      </c>
    </row>
    <row r="74" spans="1:15" x14ac:dyDescent="0.2">
      <c r="A74" t="s">
        <v>155</v>
      </c>
      <c r="B74" s="1">
        <v>45461</v>
      </c>
      <c r="C74" t="s">
        <v>16</v>
      </c>
      <c r="D74" t="s">
        <v>124</v>
      </c>
      <c r="E74" t="s">
        <v>55</v>
      </c>
      <c r="F74" t="s">
        <v>56</v>
      </c>
      <c r="G74" t="s">
        <v>36</v>
      </c>
      <c r="H74" t="s">
        <v>21</v>
      </c>
      <c r="I74" t="s">
        <v>52</v>
      </c>
      <c r="J74">
        <v>10</v>
      </c>
      <c r="K74">
        <v>755.73</v>
      </c>
      <c r="L74">
        <v>7557.3</v>
      </c>
      <c r="M74">
        <v>0.05</v>
      </c>
      <c r="N74">
        <v>645.08000000000004</v>
      </c>
      <c r="O74" t="s">
        <v>49</v>
      </c>
    </row>
    <row r="75" spans="1:15" x14ac:dyDescent="0.2">
      <c r="A75" t="s">
        <v>156</v>
      </c>
      <c r="B75" s="1">
        <v>45569</v>
      </c>
      <c r="C75" t="s">
        <v>44</v>
      </c>
      <c r="D75" t="s">
        <v>95</v>
      </c>
      <c r="E75" t="s">
        <v>96</v>
      </c>
      <c r="F75" t="s">
        <v>56</v>
      </c>
      <c r="G75" t="s">
        <v>57</v>
      </c>
      <c r="H75" t="s">
        <v>47</v>
      </c>
      <c r="I75" t="s">
        <v>58</v>
      </c>
      <c r="J75">
        <v>9</v>
      </c>
      <c r="K75">
        <v>740.38</v>
      </c>
      <c r="L75">
        <v>6663.42</v>
      </c>
      <c r="M75">
        <v>0.05</v>
      </c>
      <c r="N75">
        <v>350.49</v>
      </c>
      <c r="O75" t="s">
        <v>49</v>
      </c>
    </row>
    <row r="76" spans="1:15" x14ac:dyDescent="0.2">
      <c r="A76" t="s">
        <v>157</v>
      </c>
      <c r="B76" s="1">
        <v>45522</v>
      </c>
      <c r="C76" t="s">
        <v>32</v>
      </c>
      <c r="D76" t="s">
        <v>40</v>
      </c>
      <c r="E76" t="s">
        <v>34</v>
      </c>
      <c r="F76" t="s">
        <v>35</v>
      </c>
      <c r="G76" t="s">
        <v>20</v>
      </c>
      <c r="H76" t="s">
        <v>21</v>
      </c>
      <c r="I76" t="s">
        <v>79</v>
      </c>
      <c r="J76">
        <v>7</v>
      </c>
      <c r="K76">
        <v>181.01</v>
      </c>
      <c r="L76">
        <v>1267.07</v>
      </c>
      <c r="M76">
        <v>0.05</v>
      </c>
      <c r="N76">
        <v>67.03</v>
      </c>
      <c r="O76" t="s">
        <v>23</v>
      </c>
    </row>
    <row r="77" spans="1:15" x14ac:dyDescent="0.2">
      <c r="A77" t="s">
        <v>158</v>
      </c>
      <c r="B77" s="1">
        <v>45478</v>
      </c>
      <c r="C77" t="s">
        <v>44</v>
      </c>
      <c r="D77" t="s">
        <v>26</v>
      </c>
      <c r="E77" t="s">
        <v>27</v>
      </c>
      <c r="F77" t="s">
        <v>28</v>
      </c>
      <c r="G77" t="s">
        <v>57</v>
      </c>
      <c r="H77" t="s">
        <v>66</v>
      </c>
      <c r="I77" t="s">
        <v>67</v>
      </c>
      <c r="J77">
        <v>5</v>
      </c>
      <c r="K77">
        <v>628.74</v>
      </c>
      <c r="L77">
        <v>3143.7</v>
      </c>
      <c r="M77">
        <v>0.15</v>
      </c>
      <c r="N77">
        <v>654.28</v>
      </c>
      <c r="O77" t="s">
        <v>49</v>
      </c>
    </row>
    <row r="78" spans="1:15" x14ac:dyDescent="0.2">
      <c r="A78" t="s">
        <v>159</v>
      </c>
      <c r="B78" s="1">
        <v>45793</v>
      </c>
      <c r="C78" t="s">
        <v>44</v>
      </c>
      <c r="D78" t="s">
        <v>104</v>
      </c>
      <c r="E78" t="s">
        <v>72</v>
      </c>
      <c r="F78" t="s">
        <v>28</v>
      </c>
      <c r="G78" t="s">
        <v>36</v>
      </c>
      <c r="H78" t="s">
        <v>21</v>
      </c>
      <c r="I78" t="s">
        <v>22</v>
      </c>
      <c r="J78">
        <v>6</v>
      </c>
      <c r="K78">
        <v>462.12</v>
      </c>
      <c r="L78">
        <v>2772.72</v>
      </c>
      <c r="M78">
        <v>0.05</v>
      </c>
      <c r="N78">
        <v>319.98</v>
      </c>
      <c r="O78" t="s">
        <v>37</v>
      </c>
    </row>
    <row r="79" spans="1:15" x14ac:dyDescent="0.2">
      <c r="A79" t="s">
        <v>160</v>
      </c>
      <c r="B79" s="1">
        <v>45758</v>
      </c>
      <c r="C79" t="s">
        <v>32</v>
      </c>
      <c r="D79" t="s">
        <v>40</v>
      </c>
      <c r="E79" t="s">
        <v>34</v>
      </c>
      <c r="F79" t="s">
        <v>35</v>
      </c>
      <c r="G79" t="s">
        <v>57</v>
      </c>
      <c r="H79" t="s">
        <v>21</v>
      </c>
      <c r="I79" t="s">
        <v>22</v>
      </c>
      <c r="J79">
        <v>9</v>
      </c>
      <c r="K79">
        <v>639.66999999999996</v>
      </c>
      <c r="L79">
        <v>5757.03</v>
      </c>
      <c r="M79">
        <v>0</v>
      </c>
      <c r="N79">
        <v>879.52</v>
      </c>
      <c r="O79" t="s">
        <v>23</v>
      </c>
    </row>
    <row r="80" spans="1:15" x14ac:dyDescent="0.2">
      <c r="A80" t="s">
        <v>161</v>
      </c>
      <c r="B80" s="1">
        <v>45722</v>
      </c>
      <c r="C80" t="s">
        <v>25</v>
      </c>
      <c r="D80" t="s">
        <v>17</v>
      </c>
      <c r="E80" t="s">
        <v>18</v>
      </c>
      <c r="F80" t="s">
        <v>19</v>
      </c>
      <c r="G80" t="s">
        <v>20</v>
      </c>
      <c r="H80" t="s">
        <v>41</v>
      </c>
      <c r="I80" t="s">
        <v>63</v>
      </c>
      <c r="J80">
        <v>5</v>
      </c>
      <c r="K80">
        <v>686.07</v>
      </c>
      <c r="L80">
        <v>3430.35</v>
      </c>
      <c r="M80">
        <v>0.1</v>
      </c>
      <c r="N80">
        <v>213.54</v>
      </c>
      <c r="O80" t="s">
        <v>23</v>
      </c>
    </row>
    <row r="81" spans="1:15" x14ac:dyDescent="0.2">
      <c r="A81" t="s">
        <v>162</v>
      </c>
      <c r="B81" s="1">
        <v>45589</v>
      </c>
      <c r="C81" t="s">
        <v>25</v>
      </c>
      <c r="D81" t="s">
        <v>119</v>
      </c>
      <c r="E81" t="s">
        <v>120</v>
      </c>
      <c r="F81" t="s">
        <v>28</v>
      </c>
      <c r="G81" t="s">
        <v>57</v>
      </c>
      <c r="H81" t="s">
        <v>66</v>
      </c>
      <c r="I81" t="s">
        <v>81</v>
      </c>
      <c r="J81">
        <v>6</v>
      </c>
      <c r="K81">
        <v>921.07</v>
      </c>
      <c r="L81">
        <v>5526.42</v>
      </c>
      <c r="M81">
        <v>0.05</v>
      </c>
      <c r="N81">
        <v>370.05</v>
      </c>
      <c r="O81" t="s">
        <v>49</v>
      </c>
    </row>
    <row r="82" spans="1:15" x14ac:dyDescent="0.2">
      <c r="A82" t="s">
        <v>163</v>
      </c>
      <c r="B82" s="1">
        <v>45609</v>
      </c>
      <c r="C82" t="s">
        <v>16</v>
      </c>
      <c r="D82" t="s">
        <v>60</v>
      </c>
      <c r="E82" t="s">
        <v>61</v>
      </c>
      <c r="F82" t="s">
        <v>19</v>
      </c>
      <c r="G82" t="s">
        <v>57</v>
      </c>
      <c r="H82" t="s">
        <v>41</v>
      </c>
      <c r="I82" t="s">
        <v>86</v>
      </c>
      <c r="J82">
        <v>2</v>
      </c>
      <c r="K82">
        <v>819.21</v>
      </c>
      <c r="L82">
        <v>1638.42</v>
      </c>
      <c r="M82">
        <v>0</v>
      </c>
      <c r="N82">
        <v>239.05</v>
      </c>
      <c r="O82" t="s">
        <v>30</v>
      </c>
    </row>
    <row r="83" spans="1:15" x14ac:dyDescent="0.2">
      <c r="A83" t="s">
        <v>164</v>
      </c>
      <c r="B83" s="1">
        <v>45667</v>
      </c>
      <c r="C83" t="s">
        <v>44</v>
      </c>
      <c r="D83" t="s">
        <v>51</v>
      </c>
      <c r="E83" t="s">
        <v>46</v>
      </c>
      <c r="F83" t="s">
        <v>35</v>
      </c>
      <c r="G83" t="s">
        <v>20</v>
      </c>
      <c r="H83" t="s">
        <v>66</v>
      </c>
      <c r="I83" t="s">
        <v>73</v>
      </c>
      <c r="J83">
        <v>3</v>
      </c>
      <c r="K83">
        <v>710.48</v>
      </c>
      <c r="L83">
        <v>2131.44</v>
      </c>
      <c r="M83">
        <v>0</v>
      </c>
      <c r="N83">
        <v>423.93</v>
      </c>
      <c r="O83" t="s">
        <v>23</v>
      </c>
    </row>
    <row r="84" spans="1:15" x14ac:dyDescent="0.2">
      <c r="A84" t="s">
        <v>165</v>
      </c>
      <c r="B84" s="1">
        <v>45792</v>
      </c>
      <c r="C84" t="s">
        <v>39</v>
      </c>
      <c r="D84" t="s">
        <v>76</v>
      </c>
      <c r="E84" t="s">
        <v>18</v>
      </c>
      <c r="F84" t="s">
        <v>19</v>
      </c>
      <c r="G84" t="s">
        <v>57</v>
      </c>
      <c r="H84" t="s">
        <v>21</v>
      </c>
      <c r="I84" t="s">
        <v>79</v>
      </c>
      <c r="J84">
        <v>4</v>
      </c>
      <c r="K84">
        <v>131.96</v>
      </c>
      <c r="L84">
        <v>527.84</v>
      </c>
      <c r="M84">
        <v>0</v>
      </c>
      <c r="N84">
        <v>71.239999999999995</v>
      </c>
      <c r="O84" t="s">
        <v>37</v>
      </c>
    </row>
    <row r="85" spans="1:15" x14ac:dyDescent="0.2">
      <c r="A85" t="s">
        <v>166</v>
      </c>
      <c r="B85" s="1">
        <v>45718</v>
      </c>
      <c r="C85" t="s">
        <v>32</v>
      </c>
      <c r="D85" t="s">
        <v>71</v>
      </c>
      <c r="E85" t="s">
        <v>72</v>
      </c>
      <c r="F85" t="s">
        <v>28</v>
      </c>
      <c r="G85" t="s">
        <v>36</v>
      </c>
      <c r="H85" t="s">
        <v>21</v>
      </c>
      <c r="I85" t="s">
        <v>52</v>
      </c>
      <c r="J85">
        <v>1</v>
      </c>
      <c r="K85">
        <v>793.47</v>
      </c>
      <c r="L85">
        <v>793.47</v>
      </c>
      <c r="M85">
        <v>0.2</v>
      </c>
      <c r="N85">
        <v>107.05</v>
      </c>
      <c r="O85" t="s">
        <v>30</v>
      </c>
    </row>
    <row r="86" spans="1:15" x14ac:dyDescent="0.2">
      <c r="A86" t="s">
        <v>167</v>
      </c>
      <c r="B86" s="1">
        <v>45460</v>
      </c>
      <c r="C86" t="s">
        <v>25</v>
      </c>
      <c r="D86" t="s">
        <v>45</v>
      </c>
      <c r="E86" t="s">
        <v>46</v>
      </c>
      <c r="F86" t="s">
        <v>35</v>
      </c>
      <c r="G86" t="s">
        <v>20</v>
      </c>
      <c r="H86" t="s">
        <v>47</v>
      </c>
      <c r="I86" t="s">
        <v>77</v>
      </c>
      <c r="J86">
        <v>2</v>
      </c>
      <c r="K86">
        <v>782.81</v>
      </c>
      <c r="L86">
        <v>1565.62</v>
      </c>
      <c r="M86">
        <v>0.2</v>
      </c>
      <c r="N86">
        <v>114.08</v>
      </c>
      <c r="O86" t="s">
        <v>30</v>
      </c>
    </row>
    <row r="87" spans="1:15" x14ac:dyDescent="0.2">
      <c r="A87" t="s">
        <v>168</v>
      </c>
      <c r="B87" s="1">
        <v>45547</v>
      </c>
      <c r="C87" t="s">
        <v>39</v>
      </c>
      <c r="D87" t="s">
        <v>45</v>
      </c>
      <c r="E87" t="s">
        <v>46</v>
      </c>
      <c r="F87" t="s">
        <v>35</v>
      </c>
      <c r="G87" t="s">
        <v>20</v>
      </c>
      <c r="H87" t="s">
        <v>41</v>
      </c>
      <c r="I87" t="s">
        <v>63</v>
      </c>
      <c r="J87">
        <v>10</v>
      </c>
      <c r="K87">
        <v>349.14</v>
      </c>
      <c r="L87">
        <v>3491.4</v>
      </c>
      <c r="M87">
        <v>0.05</v>
      </c>
      <c r="N87">
        <v>733.11</v>
      </c>
      <c r="O87" t="s">
        <v>23</v>
      </c>
    </row>
    <row r="88" spans="1:15" x14ac:dyDescent="0.2">
      <c r="A88" t="s">
        <v>169</v>
      </c>
      <c r="B88" s="1">
        <v>45494</v>
      </c>
      <c r="C88" t="s">
        <v>44</v>
      </c>
      <c r="D88" t="s">
        <v>154</v>
      </c>
      <c r="E88" t="s">
        <v>120</v>
      </c>
      <c r="F88" t="s">
        <v>28</v>
      </c>
      <c r="G88" t="s">
        <v>36</v>
      </c>
      <c r="H88" t="s">
        <v>41</v>
      </c>
      <c r="I88" t="s">
        <v>86</v>
      </c>
      <c r="J88">
        <v>5</v>
      </c>
      <c r="K88">
        <v>173.43</v>
      </c>
      <c r="L88">
        <v>867.15</v>
      </c>
      <c r="M88">
        <v>0.2</v>
      </c>
      <c r="N88">
        <v>35.29</v>
      </c>
      <c r="O88" t="s">
        <v>37</v>
      </c>
    </row>
    <row r="89" spans="1:15" x14ac:dyDescent="0.2">
      <c r="A89" t="s">
        <v>170</v>
      </c>
      <c r="B89" s="1">
        <v>45522</v>
      </c>
      <c r="C89" t="s">
        <v>16</v>
      </c>
      <c r="D89" t="s">
        <v>130</v>
      </c>
      <c r="E89" t="s">
        <v>101</v>
      </c>
      <c r="F89" t="s">
        <v>56</v>
      </c>
      <c r="G89" t="s">
        <v>20</v>
      </c>
      <c r="H89" t="s">
        <v>21</v>
      </c>
      <c r="I89" t="s">
        <v>79</v>
      </c>
      <c r="J89">
        <v>3</v>
      </c>
      <c r="K89">
        <v>835.07</v>
      </c>
      <c r="L89">
        <v>2505.21</v>
      </c>
      <c r="M89">
        <v>0.15</v>
      </c>
      <c r="N89">
        <v>287.08999999999997</v>
      </c>
      <c r="O89" t="s">
        <v>30</v>
      </c>
    </row>
    <row r="90" spans="1:15" x14ac:dyDescent="0.2">
      <c r="A90" t="s">
        <v>171</v>
      </c>
      <c r="B90" s="1">
        <v>45816</v>
      </c>
      <c r="C90" t="s">
        <v>16</v>
      </c>
      <c r="D90" t="s">
        <v>104</v>
      </c>
      <c r="E90" t="s">
        <v>72</v>
      </c>
      <c r="F90" t="s">
        <v>28</v>
      </c>
      <c r="G90" t="s">
        <v>36</v>
      </c>
      <c r="H90" t="s">
        <v>41</v>
      </c>
      <c r="I90" t="s">
        <v>42</v>
      </c>
      <c r="J90">
        <v>8</v>
      </c>
      <c r="K90">
        <v>762.75</v>
      </c>
      <c r="L90">
        <v>6102</v>
      </c>
      <c r="M90">
        <v>0.1</v>
      </c>
      <c r="N90">
        <v>886.52</v>
      </c>
      <c r="O90" t="s">
        <v>37</v>
      </c>
    </row>
    <row r="91" spans="1:15" x14ac:dyDescent="0.2">
      <c r="A91" t="s">
        <v>172</v>
      </c>
      <c r="B91" s="1">
        <v>45710</v>
      </c>
      <c r="C91" t="s">
        <v>16</v>
      </c>
      <c r="D91" t="s">
        <v>33</v>
      </c>
      <c r="E91" t="s">
        <v>34</v>
      </c>
      <c r="F91" t="s">
        <v>35</v>
      </c>
      <c r="G91" t="s">
        <v>57</v>
      </c>
      <c r="H91" t="s">
        <v>21</v>
      </c>
      <c r="I91" t="s">
        <v>52</v>
      </c>
      <c r="J91">
        <v>10</v>
      </c>
      <c r="K91">
        <v>736.7</v>
      </c>
      <c r="L91">
        <v>7367</v>
      </c>
      <c r="M91">
        <v>0.15</v>
      </c>
      <c r="N91">
        <v>595.98</v>
      </c>
      <c r="O91" t="s">
        <v>49</v>
      </c>
    </row>
    <row r="92" spans="1:15" x14ac:dyDescent="0.2">
      <c r="A92" t="s">
        <v>173</v>
      </c>
      <c r="B92" s="1">
        <v>45458</v>
      </c>
      <c r="C92" t="s">
        <v>16</v>
      </c>
      <c r="D92" t="s">
        <v>107</v>
      </c>
      <c r="E92" t="s">
        <v>96</v>
      </c>
      <c r="F92" t="s">
        <v>56</v>
      </c>
      <c r="G92" t="s">
        <v>20</v>
      </c>
      <c r="H92" t="s">
        <v>47</v>
      </c>
      <c r="I92" t="s">
        <v>58</v>
      </c>
      <c r="J92">
        <v>3</v>
      </c>
      <c r="K92">
        <v>14.76</v>
      </c>
      <c r="L92">
        <v>44.28</v>
      </c>
      <c r="M92">
        <v>0.15</v>
      </c>
      <c r="N92">
        <v>6.94</v>
      </c>
      <c r="O92" t="s">
        <v>23</v>
      </c>
    </row>
    <row r="93" spans="1:15" x14ac:dyDescent="0.2">
      <c r="A93" t="s">
        <v>174</v>
      </c>
      <c r="B93" s="1">
        <v>45454</v>
      </c>
      <c r="C93" t="s">
        <v>16</v>
      </c>
      <c r="D93" t="s">
        <v>154</v>
      </c>
      <c r="E93" t="s">
        <v>120</v>
      </c>
      <c r="F93" t="s">
        <v>28</v>
      </c>
      <c r="G93" t="s">
        <v>57</v>
      </c>
      <c r="H93" t="s">
        <v>47</v>
      </c>
      <c r="I93" t="s">
        <v>58</v>
      </c>
      <c r="J93">
        <v>3</v>
      </c>
      <c r="K93">
        <v>66.58</v>
      </c>
      <c r="L93">
        <v>199.74</v>
      </c>
      <c r="M93">
        <v>0.05</v>
      </c>
      <c r="N93">
        <v>22.34</v>
      </c>
      <c r="O93" t="s">
        <v>30</v>
      </c>
    </row>
    <row r="94" spans="1:15" x14ac:dyDescent="0.2">
      <c r="A94" t="s">
        <v>175</v>
      </c>
      <c r="B94" s="1">
        <v>45478</v>
      </c>
      <c r="C94" t="s">
        <v>25</v>
      </c>
      <c r="D94" t="s">
        <v>90</v>
      </c>
      <c r="E94" t="s">
        <v>91</v>
      </c>
      <c r="F94" t="s">
        <v>19</v>
      </c>
      <c r="G94" t="s">
        <v>20</v>
      </c>
      <c r="H94" t="s">
        <v>47</v>
      </c>
      <c r="I94" t="s">
        <v>77</v>
      </c>
      <c r="J94">
        <v>7</v>
      </c>
      <c r="K94">
        <v>357.39</v>
      </c>
      <c r="L94">
        <v>2501.73</v>
      </c>
      <c r="M94">
        <v>0.2</v>
      </c>
      <c r="N94">
        <v>480.39</v>
      </c>
      <c r="O94" t="s">
        <v>23</v>
      </c>
    </row>
    <row r="95" spans="1:15" x14ac:dyDescent="0.2">
      <c r="A95" t="s">
        <v>176</v>
      </c>
      <c r="B95" s="1">
        <v>45643</v>
      </c>
      <c r="C95" t="s">
        <v>32</v>
      </c>
      <c r="D95" t="s">
        <v>51</v>
      </c>
      <c r="E95" t="s">
        <v>46</v>
      </c>
      <c r="F95" t="s">
        <v>35</v>
      </c>
      <c r="G95" t="s">
        <v>36</v>
      </c>
      <c r="H95" t="s">
        <v>47</v>
      </c>
      <c r="I95" t="s">
        <v>48</v>
      </c>
      <c r="J95">
        <v>8</v>
      </c>
      <c r="K95">
        <v>498.28</v>
      </c>
      <c r="L95">
        <v>3986.24</v>
      </c>
      <c r="M95">
        <v>0.05</v>
      </c>
      <c r="N95">
        <v>211.86</v>
      </c>
      <c r="O95" t="s">
        <v>23</v>
      </c>
    </row>
    <row r="96" spans="1:15" x14ac:dyDescent="0.2">
      <c r="A96" t="s">
        <v>177</v>
      </c>
      <c r="B96" s="1">
        <v>45527</v>
      </c>
      <c r="C96" t="s">
        <v>39</v>
      </c>
      <c r="D96" t="s">
        <v>54</v>
      </c>
      <c r="E96" t="s">
        <v>55</v>
      </c>
      <c r="F96" t="s">
        <v>56</v>
      </c>
      <c r="G96" t="s">
        <v>57</v>
      </c>
      <c r="H96" t="s">
        <v>21</v>
      </c>
      <c r="I96" t="s">
        <v>52</v>
      </c>
      <c r="J96">
        <v>3</v>
      </c>
      <c r="K96">
        <v>304.14999999999998</v>
      </c>
      <c r="L96">
        <v>912.45</v>
      </c>
      <c r="M96">
        <v>0.2</v>
      </c>
      <c r="N96">
        <v>50.56</v>
      </c>
      <c r="O96" t="s">
        <v>23</v>
      </c>
    </row>
    <row r="97" spans="1:15" x14ac:dyDescent="0.2">
      <c r="A97" t="s">
        <v>178</v>
      </c>
      <c r="B97" s="1">
        <v>45621</v>
      </c>
      <c r="C97" t="s">
        <v>16</v>
      </c>
      <c r="D97" t="s">
        <v>95</v>
      </c>
      <c r="E97" t="s">
        <v>96</v>
      </c>
      <c r="F97" t="s">
        <v>56</v>
      </c>
      <c r="G97" t="s">
        <v>57</v>
      </c>
      <c r="H97" t="s">
        <v>21</v>
      </c>
      <c r="I97" t="s">
        <v>29</v>
      </c>
      <c r="J97">
        <v>9</v>
      </c>
      <c r="K97">
        <v>344.93</v>
      </c>
      <c r="L97">
        <v>3104.37</v>
      </c>
      <c r="M97">
        <v>0.2</v>
      </c>
      <c r="N97">
        <v>395.68</v>
      </c>
      <c r="O97" t="s">
        <v>23</v>
      </c>
    </row>
    <row r="98" spans="1:15" x14ac:dyDescent="0.2">
      <c r="A98" t="s">
        <v>179</v>
      </c>
      <c r="B98" s="1">
        <v>45713</v>
      </c>
      <c r="C98" t="s">
        <v>25</v>
      </c>
      <c r="D98" t="s">
        <v>71</v>
      </c>
      <c r="E98" t="s">
        <v>72</v>
      </c>
      <c r="F98" t="s">
        <v>28</v>
      </c>
      <c r="G98" t="s">
        <v>57</v>
      </c>
      <c r="H98" t="s">
        <v>21</v>
      </c>
      <c r="I98" t="s">
        <v>29</v>
      </c>
      <c r="J98">
        <v>8</v>
      </c>
      <c r="K98">
        <v>37.909999999999997</v>
      </c>
      <c r="L98">
        <v>303.27999999999997</v>
      </c>
      <c r="M98">
        <v>0.05</v>
      </c>
      <c r="N98">
        <v>46.48</v>
      </c>
      <c r="O98" t="s">
        <v>49</v>
      </c>
    </row>
    <row r="99" spans="1:15" x14ac:dyDescent="0.2">
      <c r="A99" t="s">
        <v>180</v>
      </c>
      <c r="B99" s="1">
        <v>45660</v>
      </c>
      <c r="C99" t="s">
        <v>39</v>
      </c>
      <c r="D99" t="s">
        <v>90</v>
      </c>
      <c r="E99" t="s">
        <v>91</v>
      </c>
      <c r="F99" t="s">
        <v>19</v>
      </c>
      <c r="G99" t="s">
        <v>57</v>
      </c>
      <c r="H99" t="s">
        <v>66</v>
      </c>
      <c r="I99" t="s">
        <v>73</v>
      </c>
      <c r="J99">
        <v>8</v>
      </c>
      <c r="K99">
        <v>764.48</v>
      </c>
      <c r="L99">
        <v>6115.84</v>
      </c>
      <c r="M99">
        <v>0.2</v>
      </c>
      <c r="N99">
        <v>905.17</v>
      </c>
      <c r="O99" t="s">
        <v>49</v>
      </c>
    </row>
    <row r="100" spans="1:15" x14ac:dyDescent="0.2">
      <c r="A100" t="s">
        <v>181</v>
      </c>
      <c r="B100" s="1">
        <v>45718</v>
      </c>
      <c r="C100" t="s">
        <v>16</v>
      </c>
      <c r="D100" t="s">
        <v>76</v>
      </c>
      <c r="E100" t="s">
        <v>18</v>
      </c>
      <c r="F100" t="s">
        <v>19</v>
      </c>
      <c r="G100" t="s">
        <v>57</v>
      </c>
      <c r="H100" t="s">
        <v>47</v>
      </c>
      <c r="I100" t="s">
        <v>58</v>
      </c>
      <c r="J100">
        <v>10</v>
      </c>
      <c r="K100">
        <v>970.93</v>
      </c>
      <c r="L100">
        <v>9709.2999999999993</v>
      </c>
      <c r="M100">
        <v>0.2</v>
      </c>
      <c r="N100">
        <v>1439.29</v>
      </c>
      <c r="O100" t="s">
        <v>49</v>
      </c>
    </row>
    <row r="101" spans="1:15" x14ac:dyDescent="0.2">
      <c r="A101" t="s">
        <v>182</v>
      </c>
      <c r="B101" s="1">
        <v>45693</v>
      </c>
      <c r="C101" t="s">
        <v>39</v>
      </c>
      <c r="D101" t="s">
        <v>154</v>
      </c>
      <c r="E101" t="s">
        <v>120</v>
      </c>
      <c r="F101" t="s">
        <v>28</v>
      </c>
      <c r="G101" t="s">
        <v>57</v>
      </c>
      <c r="H101" t="s">
        <v>66</v>
      </c>
      <c r="I101" t="s">
        <v>67</v>
      </c>
      <c r="J101">
        <v>10</v>
      </c>
      <c r="K101">
        <v>28.85</v>
      </c>
      <c r="L101">
        <v>288.5</v>
      </c>
      <c r="M101">
        <v>0.1</v>
      </c>
      <c r="N101">
        <v>32.75</v>
      </c>
      <c r="O101" t="s">
        <v>23</v>
      </c>
    </row>
    <row r="102" spans="1:15" x14ac:dyDescent="0.2">
      <c r="A102" t="s">
        <v>183</v>
      </c>
      <c r="B102" s="1">
        <v>45614</v>
      </c>
      <c r="C102" t="s">
        <v>32</v>
      </c>
      <c r="D102" t="s">
        <v>40</v>
      </c>
      <c r="E102" t="s">
        <v>34</v>
      </c>
      <c r="F102" t="s">
        <v>35</v>
      </c>
      <c r="G102" t="s">
        <v>20</v>
      </c>
      <c r="H102" t="s">
        <v>47</v>
      </c>
      <c r="I102" t="s">
        <v>58</v>
      </c>
      <c r="J102">
        <v>4</v>
      </c>
      <c r="K102">
        <v>236.15</v>
      </c>
      <c r="L102">
        <v>944.6</v>
      </c>
      <c r="M102">
        <v>0.1</v>
      </c>
      <c r="N102">
        <v>143.25</v>
      </c>
      <c r="O102" t="s">
        <v>37</v>
      </c>
    </row>
    <row r="103" spans="1:15" x14ac:dyDescent="0.2">
      <c r="A103" t="s">
        <v>184</v>
      </c>
      <c r="B103" s="1">
        <v>45499</v>
      </c>
      <c r="C103" t="s">
        <v>32</v>
      </c>
      <c r="D103" t="s">
        <v>104</v>
      </c>
      <c r="E103" t="s">
        <v>72</v>
      </c>
      <c r="F103" t="s">
        <v>28</v>
      </c>
      <c r="G103" t="s">
        <v>20</v>
      </c>
      <c r="H103" t="s">
        <v>21</v>
      </c>
      <c r="I103" t="s">
        <v>22</v>
      </c>
      <c r="J103">
        <v>1</v>
      </c>
      <c r="K103">
        <v>461.99</v>
      </c>
      <c r="L103">
        <v>461.99</v>
      </c>
      <c r="M103">
        <v>0.15</v>
      </c>
      <c r="N103">
        <v>64.25</v>
      </c>
      <c r="O103" t="s">
        <v>23</v>
      </c>
    </row>
    <row r="104" spans="1:15" x14ac:dyDescent="0.2">
      <c r="A104" t="s">
        <v>185</v>
      </c>
      <c r="B104" s="1">
        <v>45755</v>
      </c>
      <c r="C104" t="s">
        <v>44</v>
      </c>
      <c r="D104" t="s">
        <v>26</v>
      </c>
      <c r="E104" t="s">
        <v>27</v>
      </c>
      <c r="F104" t="s">
        <v>28</v>
      </c>
      <c r="G104" t="s">
        <v>36</v>
      </c>
      <c r="H104" t="s">
        <v>47</v>
      </c>
      <c r="I104" t="s">
        <v>58</v>
      </c>
      <c r="J104">
        <v>7</v>
      </c>
      <c r="K104">
        <v>571.21</v>
      </c>
      <c r="L104">
        <v>3998.47</v>
      </c>
      <c r="M104">
        <v>0.1</v>
      </c>
      <c r="N104">
        <v>592</v>
      </c>
      <c r="O104" t="s">
        <v>23</v>
      </c>
    </row>
    <row r="105" spans="1:15" x14ac:dyDescent="0.2">
      <c r="A105" t="s">
        <v>186</v>
      </c>
      <c r="B105" s="1">
        <v>45625</v>
      </c>
      <c r="C105" t="s">
        <v>44</v>
      </c>
      <c r="D105" t="s">
        <v>90</v>
      </c>
      <c r="E105" t="s">
        <v>91</v>
      </c>
      <c r="F105" t="s">
        <v>19</v>
      </c>
      <c r="G105" t="s">
        <v>20</v>
      </c>
      <c r="H105" t="s">
        <v>47</v>
      </c>
      <c r="I105" t="s">
        <v>77</v>
      </c>
      <c r="J105">
        <v>3</v>
      </c>
      <c r="K105">
        <v>615.6</v>
      </c>
      <c r="L105">
        <v>1846.8</v>
      </c>
      <c r="M105">
        <v>0.1</v>
      </c>
      <c r="N105">
        <v>405.37</v>
      </c>
      <c r="O105" t="s">
        <v>23</v>
      </c>
    </row>
    <row r="106" spans="1:15" x14ac:dyDescent="0.2">
      <c r="A106" t="s">
        <v>187</v>
      </c>
      <c r="B106" s="1">
        <v>45523</v>
      </c>
      <c r="C106" t="s">
        <v>25</v>
      </c>
      <c r="D106" t="s">
        <v>69</v>
      </c>
      <c r="E106" t="s">
        <v>27</v>
      </c>
      <c r="F106" t="s">
        <v>28</v>
      </c>
      <c r="G106" t="s">
        <v>57</v>
      </c>
      <c r="H106" t="s">
        <v>41</v>
      </c>
      <c r="I106" t="s">
        <v>42</v>
      </c>
      <c r="J106">
        <v>5</v>
      </c>
      <c r="K106">
        <v>996.24</v>
      </c>
      <c r="L106">
        <v>4981.2</v>
      </c>
      <c r="M106">
        <v>0.15</v>
      </c>
      <c r="N106">
        <v>893.04</v>
      </c>
      <c r="O106" t="s">
        <v>30</v>
      </c>
    </row>
    <row r="107" spans="1:15" x14ac:dyDescent="0.2">
      <c r="A107" t="s">
        <v>188</v>
      </c>
      <c r="B107" s="1">
        <v>45737</v>
      </c>
      <c r="C107" t="s">
        <v>44</v>
      </c>
      <c r="D107" t="s">
        <v>33</v>
      </c>
      <c r="E107" t="s">
        <v>34</v>
      </c>
      <c r="F107" t="s">
        <v>35</v>
      </c>
      <c r="G107" t="s">
        <v>20</v>
      </c>
      <c r="H107" t="s">
        <v>21</v>
      </c>
      <c r="I107" t="s">
        <v>52</v>
      </c>
      <c r="J107">
        <v>7</v>
      </c>
      <c r="K107">
        <v>211.32</v>
      </c>
      <c r="L107">
        <v>1479.24</v>
      </c>
      <c r="M107">
        <v>0</v>
      </c>
      <c r="N107">
        <v>266.72000000000003</v>
      </c>
      <c r="O107" t="s">
        <v>49</v>
      </c>
    </row>
    <row r="108" spans="1:15" x14ac:dyDescent="0.2">
      <c r="A108" t="s">
        <v>189</v>
      </c>
      <c r="B108" s="1">
        <v>45724</v>
      </c>
      <c r="C108" t="s">
        <v>39</v>
      </c>
      <c r="D108" t="s">
        <v>40</v>
      </c>
      <c r="E108" t="s">
        <v>34</v>
      </c>
      <c r="F108" t="s">
        <v>35</v>
      </c>
      <c r="G108" t="s">
        <v>57</v>
      </c>
      <c r="H108" t="s">
        <v>66</v>
      </c>
      <c r="I108" t="s">
        <v>73</v>
      </c>
      <c r="J108">
        <v>5</v>
      </c>
      <c r="K108">
        <v>625.71</v>
      </c>
      <c r="L108">
        <v>3128.55</v>
      </c>
      <c r="M108">
        <v>0.15</v>
      </c>
      <c r="N108">
        <v>490.14</v>
      </c>
      <c r="O108" t="s">
        <v>49</v>
      </c>
    </row>
    <row r="109" spans="1:15" x14ac:dyDescent="0.2">
      <c r="A109" t="s">
        <v>190</v>
      </c>
      <c r="B109" s="1">
        <v>45691</v>
      </c>
      <c r="C109" t="s">
        <v>39</v>
      </c>
      <c r="D109" t="s">
        <v>17</v>
      </c>
      <c r="E109" t="s">
        <v>18</v>
      </c>
      <c r="F109" t="s">
        <v>19</v>
      </c>
      <c r="G109" t="s">
        <v>20</v>
      </c>
      <c r="H109" t="s">
        <v>41</v>
      </c>
      <c r="I109" t="s">
        <v>63</v>
      </c>
      <c r="J109">
        <v>5</v>
      </c>
      <c r="K109">
        <v>937.29</v>
      </c>
      <c r="L109">
        <v>4686.45</v>
      </c>
      <c r="M109">
        <v>0.2</v>
      </c>
      <c r="N109">
        <v>794.02</v>
      </c>
      <c r="O109" t="s">
        <v>49</v>
      </c>
    </row>
    <row r="110" spans="1:15" x14ac:dyDescent="0.2">
      <c r="A110" t="s">
        <v>191</v>
      </c>
      <c r="B110" s="1">
        <v>45567</v>
      </c>
      <c r="C110" t="s">
        <v>25</v>
      </c>
      <c r="D110" t="s">
        <v>69</v>
      </c>
      <c r="E110" t="s">
        <v>27</v>
      </c>
      <c r="F110" t="s">
        <v>28</v>
      </c>
      <c r="G110" t="s">
        <v>57</v>
      </c>
      <c r="H110" t="s">
        <v>47</v>
      </c>
      <c r="I110" t="s">
        <v>48</v>
      </c>
      <c r="J110">
        <v>4</v>
      </c>
      <c r="K110">
        <v>152.16999999999999</v>
      </c>
      <c r="L110">
        <v>608.67999999999995</v>
      </c>
      <c r="M110">
        <v>0.1</v>
      </c>
      <c r="N110">
        <v>119.87</v>
      </c>
      <c r="O110" t="s">
        <v>37</v>
      </c>
    </row>
    <row r="111" spans="1:15" x14ac:dyDescent="0.2">
      <c r="A111" t="s">
        <v>192</v>
      </c>
      <c r="B111" s="1">
        <v>45538</v>
      </c>
      <c r="C111" t="s">
        <v>16</v>
      </c>
      <c r="D111" t="s">
        <v>69</v>
      </c>
      <c r="E111" t="s">
        <v>27</v>
      </c>
      <c r="F111" t="s">
        <v>28</v>
      </c>
      <c r="G111" t="s">
        <v>57</v>
      </c>
      <c r="H111" t="s">
        <v>47</v>
      </c>
      <c r="I111" t="s">
        <v>58</v>
      </c>
      <c r="J111">
        <v>3</v>
      </c>
      <c r="K111">
        <v>257.93</v>
      </c>
      <c r="L111">
        <v>773.79</v>
      </c>
      <c r="M111">
        <v>0.2</v>
      </c>
      <c r="N111">
        <v>60.19</v>
      </c>
      <c r="O111" t="s">
        <v>23</v>
      </c>
    </row>
    <row r="112" spans="1:15" x14ac:dyDescent="0.2">
      <c r="A112" t="s">
        <v>193</v>
      </c>
      <c r="B112" s="1">
        <v>45733</v>
      </c>
      <c r="C112" t="s">
        <v>39</v>
      </c>
      <c r="D112" t="s">
        <v>60</v>
      </c>
      <c r="E112" t="s">
        <v>61</v>
      </c>
      <c r="F112" t="s">
        <v>19</v>
      </c>
      <c r="G112" t="s">
        <v>57</v>
      </c>
      <c r="H112" t="s">
        <v>41</v>
      </c>
      <c r="I112" t="s">
        <v>63</v>
      </c>
      <c r="J112">
        <v>8</v>
      </c>
      <c r="K112">
        <v>560.71</v>
      </c>
      <c r="L112">
        <v>4485.68</v>
      </c>
      <c r="M112">
        <v>0.15</v>
      </c>
      <c r="N112">
        <v>512.46</v>
      </c>
      <c r="O112" t="s">
        <v>49</v>
      </c>
    </row>
    <row r="113" spans="1:15" x14ac:dyDescent="0.2">
      <c r="A113" t="s">
        <v>194</v>
      </c>
      <c r="B113" s="1">
        <v>45684</v>
      </c>
      <c r="C113" t="s">
        <v>32</v>
      </c>
      <c r="D113" t="s">
        <v>113</v>
      </c>
      <c r="E113" t="s">
        <v>91</v>
      </c>
      <c r="F113" t="s">
        <v>19</v>
      </c>
      <c r="G113" t="s">
        <v>57</v>
      </c>
      <c r="H113" t="s">
        <v>21</v>
      </c>
      <c r="I113" t="s">
        <v>79</v>
      </c>
      <c r="J113">
        <v>9</v>
      </c>
      <c r="K113">
        <v>177.63</v>
      </c>
      <c r="L113">
        <v>1598.67</v>
      </c>
      <c r="M113">
        <v>0</v>
      </c>
      <c r="N113">
        <v>388.09</v>
      </c>
      <c r="O113" t="s">
        <v>23</v>
      </c>
    </row>
    <row r="114" spans="1:15" x14ac:dyDescent="0.2">
      <c r="A114" t="s">
        <v>195</v>
      </c>
      <c r="B114" s="1">
        <v>45591</v>
      </c>
      <c r="C114" t="s">
        <v>44</v>
      </c>
      <c r="D114" t="s">
        <v>119</v>
      </c>
      <c r="E114" t="s">
        <v>120</v>
      </c>
      <c r="F114" t="s">
        <v>28</v>
      </c>
      <c r="G114" t="s">
        <v>57</v>
      </c>
      <c r="H114" t="s">
        <v>47</v>
      </c>
      <c r="I114" t="s">
        <v>77</v>
      </c>
      <c r="J114">
        <v>7</v>
      </c>
      <c r="K114">
        <v>896.98</v>
      </c>
      <c r="L114">
        <v>6278.86</v>
      </c>
      <c r="M114">
        <v>0</v>
      </c>
      <c r="N114">
        <v>812.35</v>
      </c>
      <c r="O114" t="s">
        <v>30</v>
      </c>
    </row>
    <row r="115" spans="1:15" x14ac:dyDescent="0.2">
      <c r="A115" t="s">
        <v>196</v>
      </c>
      <c r="B115" s="1">
        <v>45631</v>
      </c>
      <c r="C115" t="s">
        <v>44</v>
      </c>
      <c r="D115" t="s">
        <v>69</v>
      </c>
      <c r="E115" t="s">
        <v>27</v>
      </c>
      <c r="F115" t="s">
        <v>28</v>
      </c>
      <c r="G115" t="s">
        <v>20</v>
      </c>
      <c r="H115" t="s">
        <v>41</v>
      </c>
      <c r="I115" t="s">
        <v>63</v>
      </c>
      <c r="J115">
        <v>8</v>
      </c>
      <c r="K115">
        <v>884.8</v>
      </c>
      <c r="L115">
        <v>7078.4</v>
      </c>
      <c r="M115">
        <v>0.05</v>
      </c>
      <c r="N115">
        <v>1142.92</v>
      </c>
      <c r="O115" t="s">
        <v>23</v>
      </c>
    </row>
    <row r="116" spans="1:15" x14ac:dyDescent="0.2">
      <c r="A116" t="s">
        <v>197</v>
      </c>
      <c r="B116" s="1">
        <v>45736</v>
      </c>
      <c r="C116" t="s">
        <v>16</v>
      </c>
      <c r="D116" t="s">
        <v>54</v>
      </c>
      <c r="E116" t="s">
        <v>55</v>
      </c>
      <c r="F116" t="s">
        <v>56</v>
      </c>
      <c r="G116" t="s">
        <v>36</v>
      </c>
      <c r="H116" t="s">
        <v>66</v>
      </c>
      <c r="I116" t="s">
        <v>67</v>
      </c>
      <c r="J116">
        <v>2</v>
      </c>
      <c r="K116">
        <v>176.8</v>
      </c>
      <c r="L116">
        <v>353.6</v>
      </c>
      <c r="M116">
        <v>0.1</v>
      </c>
      <c r="N116">
        <v>43.88</v>
      </c>
      <c r="O116" t="s">
        <v>37</v>
      </c>
    </row>
    <row r="117" spans="1:15" x14ac:dyDescent="0.2">
      <c r="A117" t="s">
        <v>198</v>
      </c>
      <c r="B117" s="1">
        <v>45683</v>
      </c>
      <c r="C117" t="s">
        <v>32</v>
      </c>
      <c r="D117" t="s">
        <v>71</v>
      </c>
      <c r="E117" t="s">
        <v>72</v>
      </c>
      <c r="F117" t="s">
        <v>28</v>
      </c>
      <c r="G117" t="s">
        <v>57</v>
      </c>
      <c r="H117" t="s">
        <v>66</v>
      </c>
      <c r="I117" t="s">
        <v>73</v>
      </c>
      <c r="J117">
        <v>8</v>
      </c>
      <c r="K117">
        <v>683.37</v>
      </c>
      <c r="L117">
        <v>5466.96</v>
      </c>
      <c r="M117">
        <v>0.1</v>
      </c>
      <c r="N117">
        <v>1111.42</v>
      </c>
      <c r="O117" t="s">
        <v>49</v>
      </c>
    </row>
    <row r="118" spans="1:15" x14ac:dyDescent="0.2">
      <c r="A118" t="s">
        <v>199</v>
      </c>
      <c r="B118" s="1">
        <v>45640</v>
      </c>
      <c r="C118" t="s">
        <v>25</v>
      </c>
      <c r="D118" t="s">
        <v>124</v>
      </c>
      <c r="E118" t="s">
        <v>55</v>
      </c>
      <c r="F118" t="s">
        <v>56</v>
      </c>
      <c r="G118" t="s">
        <v>36</v>
      </c>
      <c r="H118" t="s">
        <v>41</v>
      </c>
      <c r="I118" t="s">
        <v>42</v>
      </c>
      <c r="J118">
        <v>1</v>
      </c>
      <c r="K118">
        <v>691.3</v>
      </c>
      <c r="L118">
        <v>691.3</v>
      </c>
      <c r="M118">
        <v>0.05</v>
      </c>
      <c r="N118">
        <v>66.069999999999993</v>
      </c>
      <c r="O118" t="s">
        <v>30</v>
      </c>
    </row>
    <row r="119" spans="1:15" x14ac:dyDescent="0.2">
      <c r="A119" t="s">
        <v>200</v>
      </c>
      <c r="B119" s="1">
        <v>45623</v>
      </c>
      <c r="C119" t="s">
        <v>44</v>
      </c>
      <c r="D119" t="s">
        <v>142</v>
      </c>
      <c r="E119" t="s">
        <v>143</v>
      </c>
      <c r="F119" t="s">
        <v>35</v>
      </c>
      <c r="G119" t="s">
        <v>36</v>
      </c>
      <c r="H119" t="s">
        <v>47</v>
      </c>
      <c r="I119" t="s">
        <v>58</v>
      </c>
      <c r="J119">
        <v>7</v>
      </c>
      <c r="K119">
        <v>9.85</v>
      </c>
      <c r="L119">
        <v>68.95</v>
      </c>
      <c r="M119">
        <v>0.15</v>
      </c>
      <c r="N119">
        <v>13.8</v>
      </c>
      <c r="O119" t="s">
        <v>49</v>
      </c>
    </row>
    <row r="120" spans="1:15" x14ac:dyDescent="0.2">
      <c r="A120" t="s">
        <v>201</v>
      </c>
      <c r="B120" s="1">
        <v>45500</v>
      </c>
      <c r="C120" t="s">
        <v>39</v>
      </c>
      <c r="D120" t="s">
        <v>119</v>
      </c>
      <c r="E120" t="s">
        <v>120</v>
      </c>
      <c r="F120" t="s">
        <v>28</v>
      </c>
      <c r="G120" t="s">
        <v>36</v>
      </c>
      <c r="H120" t="s">
        <v>66</v>
      </c>
      <c r="I120" t="s">
        <v>67</v>
      </c>
      <c r="J120">
        <v>6</v>
      </c>
      <c r="K120">
        <v>879.71</v>
      </c>
      <c r="L120">
        <v>5278.26</v>
      </c>
      <c r="M120">
        <v>0.15</v>
      </c>
      <c r="N120">
        <v>932.58</v>
      </c>
      <c r="O120" t="s">
        <v>49</v>
      </c>
    </row>
    <row r="121" spans="1:15" x14ac:dyDescent="0.2">
      <c r="A121" t="s">
        <v>202</v>
      </c>
      <c r="B121" s="1">
        <v>45668</v>
      </c>
      <c r="C121" t="s">
        <v>25</v>
      </c>
      <c r="D121" t="s">
        <v>100</v>
      </c>
      <c r="E121" t="s">
        <v>101</v>
      </c>
      <c r="F121" t="s">
        <v>56</v>
      </c>
      <c r="G121" t="s">
        <v>20</v>
      </c>
      <c r="H121" t="s">
        <v>66</v>
      </c>
      <c r="I121" t="s">
        <v>81</v>
      </c>
      <c r="J121">
        <v>2</v>
      </c>
      <c r="K121">
        <v>824.75</v>
      </c>
      <c r="L121">
        <v>1649.5</v>
      </c>
      <c r="M121">
        <v>0.1</v>
      </c>
      <c r="N121">
        <v>224.56</v>
      </c>
      <c r="O121" t="s">
        <v>49</v>
      </c>
    </row>
    <row r="122" spans="1:15" x14ac:dyDescent="0.2">
      <c r="A122" t="s">
        <v>203</v>
      </c>
      <c r="B122" s="1">
        <v>45513</v>
      </c>
      <c r="C122" t="s">
        <v>32</v>
      </c>
      <c r="D122" t="s">
        <v>33</v>
      </c>
      <c r="E122" t="s">
        <v>34</v>
      </c>
      <c r="F122" t="s">
        <v>35</v>
      </c>
      <c r="G122" t="s">
        <v>20</v>
      </c>
      <c r="H122" t="s">
        <v>66</v>
      </c>
      <c r="I122" t="s">
        <v>67</v>
      </c>
      <c r="J122">
        <v>8</v>
      </c>
      <c r="K122">
        <v>791.44</v>
      </c>
      <c r="L122">
        <v>6331.52</v>
      </c>
      <c r="M122">
        <v>0.05</v>
      </c>
      <c r="N122">
        <v>304.45</v>
      </c>
      <c r="O122" t="s">
        <v>37</v>
      </c>
    </row>
    <row r="123" spans="1:15" x14ac:dyDescent="0.2">
      <c r="A123" t="s">
        <v>204</v>
      </c>
      <c r="B123" s="1">
        <v>45455</v>
      </c>
      <c r="C123" t="s">
        <v>32</v>
      </c>
      <c r="D123" t="s">
        <v>33</v>
      </c>
      <c r="E123" t="s">
        <v>34</v>
      </c>
      <c r="F123" t="s">
        <v>35</v>
      </c>
      <c r="G123" t="s">
        <v>36</v>
      </c>
      <c r="H123" t="s">
        <v>41</v>
      </c>
      <c r="I123" t="s">
        <v>86</v>
      </c>
      <c r="J123">
        <v>9</v>
      </c>
      <c r="K123">
        <v>714.14</v>
      </c>
      <c r="L123">
        <v>6427.26</v>
      </c>
      <c r="M123">
        <v>0.05</v>
      </c>
      <c r="N123">
        <v>1339.59</v>
      </c>
      <c r="O123" t="s">
        <v>37</v>
      </c>
    </row>
    <row r="124" spans="1:15" x14ac:dyDescent="0.2">
      <c r="A124" t="s">
        <v>205</v>
      </c>
      <c r="B124" s="1">
        <v>45795</v>
      </c>
      <c r="C124" t="s">
        <v>25</v>
      </c>
      <c r="D124" t="s">
        <v>130</v>
      </c>
      <c r="E124" t="s">
        <v>101</v>
      </c>
      <c r="F124" t="s">
        <v>56</v>
      </c>
      <c r="G124" t="s">
        <v>36</v>
      </c>
      <c r="H124" t="s">
        <v>47</v>
      </c>
      <c r="I124" t="s">
        <v>58</v>
      </c>
      <c r="J124">
        <v>5</v>
      </c>
      <c r="K124">
        <v>200.27</v>
      </c>
      <c r="L124">
        <v>1001.35</v>
      </c>
      <c r="M124">
        <v>0.15</v>
      </c>
      <c r="N124">
        <v>105.13</v>
      </c>
      <c r="O124" t="s">
        <v>23</v>
      </c>
    </row>
    <row r="125" spans="1:15" x14ac:dyDescent="0.2">
      <c r="A125" t="s">
        <v>206</v>
      </c>
      <c r="B125" s="1">
        <v>45499</v>
      </c>
      <c r="C125" t="s">
        <v>44</v>
      </c>
      <c r="D125" t="s">
        <v>60</v>
      </c>
      <c r="E125" t="s">
        <v>61</v>
      </c>
      <c r="F125" t="s">
        <v>19</v>
      </c>
      <c r="G125" t="s">
        <v>20</v>
      </c>
      <c r="H125" t="s">
        <v>47</v>
      </c>
      <c r="I125" t="s">
        <v>58</v>
      </c>
      <c r="J125">
        <v>2</v>
      </c>
      <c r="K125">
        <v>974.18</v>
      </c>
      <c r="L125">
        <v>1948.36</v>
      </c>
      <c r="M125">
        <v>0.05</v>
      </c>
      <c r="N125">
        <v>189.46</v>
      </c>
      <c r="O125" t="s">
        <v>37</v>
      </c>
    </row>
    <row r="126" spans="1:15" x14ac:dyDescent="0.2">
      <c r="A126" t="s">
        <v>207</v>
      </c>
      <c r="B126" s="1">
        <v>45582</v>
      </c>
      <c r="C126" t="s">
        <v>44</v>
      </c>
      <c r="D126" t="s">
        <v>124</v>
      </c>
      <c r="E126" t="s">
        <v>55</v>
      </c>
      <c r="F126" t="s">
        <v>56</v>
      </c>
      <c r="G126" t="s">
        <v>57</v>
      </c>
      <c r="H126" t="s">
        <v>41</v>
      </c>
      <c r="I126" t="s">
        <v>63</v>
      </c>
      <c r="J126">
        <v>2</v>
      </c>
      <c r="K126">
        <v>958.12</v>
      </c>
      <c r="L126">
        <v>1916.24</v>
      </c>
      <c r="M126">
        <v>0.05</v>
      </c>
      <c r="N126">
        <v>435.9</v>
      </c>
      <c r="O126" t="s">
        <v>37</v>
      </c>
    </row>
    <row r="127" spans="1:15" x14ac:dyDescent="0.2">
      <c r="A127" t="s">
        <v>208</v>
      </c>
      <c r="B127" s="1">
        <v>45548</v>
      </c>
      <c r="C127" t="s">
        <v>32</v>
      </c>
      <c r="D127" t="s">
        <v>100</v>
      </c>
      <c r="E127" t="s">
        <v>101</v>
      </c>
      <c r="F127" t="s">
        <v>56</v>
      </c>
      <c r="G127" t="s">
        <v>36</v>
      </c>
      <c r="H127" t="s">
        <v>21</v>
      </c>
      <c r="I127" t="s">
        <v>52</v>
      </c>
      <c r="J127">
        <v>4</v>
      </c>
      <c r="K127">
        <v>946.16</v>
      </c>
      <c r="L127">
        <v>3784.64</v>
      </c>
      <c r="M127">
        <v>0.1</v>
      </c>
      <c r="N127">
        <v>366.48</v>
      </c>
      <c r="O127" t="s">
        <v>37</v>
      </c>
    </row>
    <row r="128" spans="1:15" x14ac:dyDescent="0.2">
      <c r="A128" t="s">
        <v>209</v>
      </c>
      <c r="B128" s="1">
        <v>45490</v>
      </c>
      <c r="C128" t="s">
        <v>44</v>
      </c>
      <c r="D128" t="s">
        <v>113</v>
      </c>
      <c r="E128" t="s">
        <v>91</v>
      </c>
      <c r="F128" t="s">
        <v>19</v>
      </c>
      <c r="G128" t="s">
        <v>36</v>
      </c>
      <c r="H128" t="s">
        <v>47</v>
      </c>
      <c r="I128" t="s">
        <v>58</v>
      </c>
      <c r="J128">
        <v>4</v>
      </c>
      <c r="K128">
        <v>419.49</v>
      </c>
      <c r="L128">
        <v>1677.96</v>
      </c>
      <c r="M128">
        <v>0.15</v>
      </c>
      <c r="N128">
        <v>297.37</v>
      </c>
      <c r="O128" t="s">
        <v>23</v>
      </c>
    </row>
    <row r="129" spans="1:15" x14ac:dyDescent="0.2">
      <c r="A129" t="s">
        <v>210</v>
      </c>
      <c r="B129" s="1">
        <v>45605</v>
      </c>
      <c r="C129" t="s">
        <v>39</v>
      </c>
      <c r="D129" t="s">
        <v>51</v>
      </c>
      <c r="E129" t="s">
        <v>46</v>
      </c>
      <c r="F129" t="s">
        <v>35</v>
      </c>
      <c r="G129" t="s">
        <v>57</v>
      </c>
      <c r="H129" t="s">
        <v>21</v>
      </c>
      <c r="I129" t="s">
        <v>22</v>
      </c>
      <c r="J129">
        <v>2</v>
      </c>
      <c r="K129">
        <v>12.3</v>
      </c>
      <c r="L129">
        <v>24.6</v>
      </c>
      <c r="M129">
        <v>0.05</v>
      </c>
      <c r="N129">
        <v>5.24</v>
      </c>
      <c r="O129" t="s">
        <v>49</v>
      </c>
    </row>
    <row r="130" spans="1:15" x14ac:dyDescent="0.2">
      <c r="A130" t="s">
        <v>211</v>
      </c>
      <c r="B130" s="1">
        <v>45552</v>
      </c>
      <c r="C130" t="s">
        <v>16</v>
      </c>
      <c r="D130" t="s">
        <v>17</v>
      </c>
      <c r="E130" t="s">
        <v>18</v>
      </c>
      <c r="F130" t="s">
        <v>19</v>
      </c>
      <c r="G130" t="s">
        <v>20</v>
      </c>
      <c r="H130" t="s">
        <v>47</v>
      </c>
      <c r="I130" t="s">
        <v>48</v>
      </c>
      <c r="J130">
        <v>2</v>
      </c>
      <c r="K130">
        <v>97.09</v>
      </c>
      <c r="L130">
        <v>194.18</v>
      </c>
      <c r="M130">
        <v>0</v>
      </c>
      <c r="N130">
        <v>11.73</v>
      </c>
      <c r="O130" t="s">
        <v>23</v>
      </c>
    </row>
    <row r="131" spans="1:15" x14ac:dyDescent="0.2">
      <c r="A131" t="s">
        <v>212</v>
      </c>
      <c r="B131" s="1">
        <v>45561</v>
      </c>
      <c r="C131" t="s">
        <v>32</v>
      </c>
      <c r="D131" t="s">
        <v>142</v>
      </c>
      <c r="E131" t="s">
        <v>143</v>
      </c>
      <c r="F131" t="s">
        <v>35</v>
      </c>
      <c r="G131" t="s">
        <v>57</v>
      </c>
      <c r="H131" t="s">
        <v>41</v>
      </c>
      <c r="I131" t="s">
        <v>42</v>
      </c>
      <c r="J131">
        <v>5</v>
      </c>
      <c r="K131">
        <v>977.57</v>
      </c>
      <c r="L131">
        <v>4887.8500000000004</v>
      </c>
      <c r="M131">
        <v>0.1</v>
      </c>
      <c r="N131">
        <v>336.3</v>
      </c>
      <c r="O131" t="s">
        <v>49</v>
      </c>
    </row>
    <row r="132" spans="1:15" x14ac:dyDescent="0.2">
      <c r="A132" t="s">
        <v>213</v>
      </c>
      <c r="B132" s="1">
        <v>45513</v>
      </c>
      <c r="C132" t="s">
        <v>25</v>
      </c>
      <c r="D132" t="s">
        <v>51</v>
      </c>
      <c r="E132" t="s">
        <v>46</v>
      </c>
      <c r="F132" t="s">
        <v>35</v>
      </c>
      <c r="G132" t="s">
        <v>57</v>
      </c>
      <c r="H132" t="s">
        <v>21</v>
      </c>
      <c r="I132" t="s">
        <v>79</v>
      </c>
      <c r="J132">
        <v>2</v>
      </c>
      <c r="K132">
        <v>318.68</v>
      </c>
      <c r="L132">
        <v>637.36</v>
      </c>
      <c r="M132">
        <v>0.2</v>
      </c>
      <c r="N132">
        <v>69.64</v>
      </c>
      <c r="O132" t="s">
        <v>37</v>
      </c>
    </row>
    <row r="133" spans="1:15" x14ac:dyDescent="0.2">
      <c r="A133" t="s">
        <v>214</v>
      </c>
      <c r="B133" s="1">
        <v>45567</v>
      </c>
      <c r="C133" t="s">
        <v>16</v>
      </c>
      <c r="D133" t="s">
        <v>45</v>
      </c>
      <c r="E133" t="s">
        <v>46</v>
      </c>
      <c r="F133" t="s">
        <v>35</v>
      </c>
      <c r="G133" t="s">
        <v>57</v>
      </c>
      <c r="H133" t="s">
        <v>66</v>
      </c>
      <c r="I133" t="s">
        <v>81</v>
      </c>
      <c r="J133">
        <v>7</v>
      </c>
      <c r="K133">
        <v>284.36</v>
      </c>
      <c r="L133">
        <v>1990.52</v>
      </c>
      <c r="M133">
        <v>0.1</v>
      </c>
      <c r="N133">
        <v>309.18</v>
      </c>
      <c r="O133" t="s">
        <v>23</v>
      </c>
    </row>
    <row r="134" spans="1:15" x14ac:dyDescent="0.2">
      <c r="A134" t="s">
        <v>215</v>
      </c>
      <c r="B134" s="1">
        <v>45465</v>
      </c>
      <c r="C134" t="s">
        <v>25</v>
      </c>
      <c r="D134" t="s">
        <v>33</v>
      </c>
      <c r="E134" t="s">
        <v>34</v>
      </c>
      <c r="F134" t="s">
        <v>35</v>
      </c>
      <c r="G134" t="s">
        <v>20</v>
      </c>
      <c r="H134" t="s">
        <v>66</v>
      </c>
      <c r="I134" t="s">
        <v>73</v>
      </c>
      <c r="J134">
        <v>3</v>
      </c>
      <c r="K134">
        <v>556.55999999999995</v>
      </c>
      <c r="L134">
        <v>1669.68</v>
      </c>
      <c r="M134">
        <v>0.15</v>
      </c>
      <c r="N134">
        <v>86.07</v>
      </c>
      <c r="O134" t="s">
        <v>49</v>
      </c>
    </row>
    <row r="135" spans="1:15" x14ac:dyDescent="0.2">
      <c r="A135" t="s">
        <v>216</v>
      </c>
      <c r="B135" s="1">
        <v>45496</v>
      </c>
      <c r="C135" t="s">
        <v>16</v>
      </c>
      <c r="D135" t="s">
        <v>60</v>
      </c>
      <c r="E135" t="s">
        <v>61</v>
      </c>
      <c r="F135" t="s">
        <v>19</v>
      </c>
      <c r="G135" t="s">
        <v>57</v>
      </c>
      <c r="H135" t="s">
        <v>41</v>
      </c>
      <c r="I135" t="s">
        <v>63</v>
      </c>
      <c r="J135">
        <v>8</v>
      </c>
      <c r="K135">
        <v>437.56</v>
      </c>
      <c r="L135">
        <v>3500.48</v>
      </c>
      <c r="M135">
        <v>0.15</v>
      </c>
      <c r="N135">
        <v>173.04</v>
      </c>
      <c r="O135" t="s">
        <v>37</v>
      </c>
    </row>
    <row r="136" spans="1:15" x14ac:dyDescent="0.2">
      <c r="A136" t="s">
        <v>217</v>
      </c>
      <c r="B136" s="1">
        <v>45701</v>
      </c>
      <c r="C136" t="s">
        <v>32</v>
      </c>
      <c r="D136" t="s">
        <v>100</v>
      </c>
      <c r="E136" t="s">
        <v>101</v>
      </c>
      <c r="F136" t="s">
        <v>56</v>
      </c>
      <c r="G136" t="s">
        <v>20</v>
      </c>
      <c r="H136" t="s">
        <v>66</v>
      </c>
      <c r="I136" t="s">
        <v>73</v>
      </c>
      <c r="J136">
        <v>2</v>
      </c>
      <c r="K136">
        <v>350.91</v>
      </c>
      <c r="L136">
        <v>701.82</v>
      </c>
      <c r="M136">
        <v>0.05</v>
      </c>
      <c r="N136">
        <v>149.1</v>
      </c>
      <c r="O136" t="s">
        <v>37</v>
      </c>
    </row>
    <row r="137" spans="1:15" x14ac:dyDescent="0.2">
      <c r="A137" t="s">
        <v>218</v>
      </c>
      <c r="B137" s="1">
        <v>45572</v>
      </c>
      <c r="C137" t="s">
        <v>44</v>
      </c>
      <c r="D137" t="s">
        <v>142</v>
      </c>
      <c r="E137" t="s">
        <v>143</v>
      </c>
      <c r="F137" t="s">
        <v>35</v>
      </c>
      <c r="G137" t="s">
        <v>36</v>
      </c>
      <c r="H137" t="s">
        <v>41</v>
      </c>
      <c r="I137" t="s">
        <v>63</v>
      </c>
      <c r="J137">
        <v>7</v>
      </c>
      <c r="K137">
        <v>920.57</v>
      </c>
      <c r="L137">
        <v>6443.99</v>
      </c>
      <c r="M137">
        <v>0.05</v>
      </c>
      <c r="N137">
        <v>1246.71</v>
      </c>
      <c r="O137" t="s">
        <v>37</v>
      </c>
    </row>
    <row r="138" spans="1:15" x14ac:dyDescent="0.2">
      <c r="A138" t="s">
        <v>219</v>
      </c>
      <c r="B138" s="1">
        <v>45814</v>
      </c>
      <c r="C138" t="s">
        <v>16</v>
      </c>
      <c r="D138" t="s">
        <v>104</v>
      </c>
      <c r="E138" t="s">
        <v>72</v>
      </c>
      <c r="F138" t="s">
        <v>28</v>
      </c>
      <c r="G138" t="s">
        <v>57</v>
      </c>
      <c r="H138" t="s">
        <v>21</v>
      </c>
      <c r="I138" t="s">
        <v>22</v>
      </c>
      <c r="J138">
        <v>6</v>
      </c>
      <c r="K138">
        <v>155.47</v>
      </c>
      <c r="L138">
        <v>932.82</v>
      </c>
      <c r="M138">
        <v>0</v>
      </c>
      <c r="N138">
        <v>132.5</v>
      </c>
      <c r="O138" t="s">
        <v>30</v>
      </c>
    </row>
    <row r="139" spans="1:15" x14ac:dyDescent="0.2">
      <c r="A139" t="s">
        <v>220</v>
      </c>
      <c r="B139" s="1">
        <v>45548</v>
      </c>
      <c r="C139" t="s">
        <v>25</v>
      </c>
      <c r="D139" t="s">
        <v>142</v>
      </c>
      <c r="E139" t="s">
        <v>143</v>
      </c>
      <c r="F139" t="s">
        <v>35</v>
      </c>
      <c r="G139" t="s">
        <v>36</v>
      </c>
      <c r="H139" t="s">
        <v>47</v>
      </c>
      <c r="I139" t="s">
        <v>58</v>
      </c>
      <c r="J139">
        <v>6</v>
      </c>
      <c r="K139">
        <v>947.52</v>
      </c>
      <c r="L139">
        <v>5685.12</v>
      </c>
      <c r="M139">
        <v>0.2</v>
      </c>
      <c r="N139">
        <v>345.04</v>
      </c>
      <c r="O139" t="s">
        <v>49</v>
      </c>
    </row>
    <row r="140" spans="1:15" x14ac:dyDescent="0.2">
      <c r="A140" t="s">
        <v>221</v>
      </c>
      <c r="B140" s="1">
        <v>45504</v>
      </c>
      <c r="C140" t="s">
        <v>44</v>
      </c>
      <c r="D140" t="s">
        <v>45</v>
      </c>
      <c r="E140" t="s">
        <v>46</v>
      </c>
      <c r="F140" t="s">
        <v>35</v>
      </c>
      <c r="G140" t="s">
        <v>20</v>
      </c>
      <c r="H140" t="s">
        <v>21</v>
      </c>
      <c r="I140" t="s">
        <v>22</v>
      </c>
      <c r="J140">
        <v>2</v>
      </c>
      <c r="K140">
        <v>400.06</v>
      </c>
      <c r="L140">
        <v>800.12</v>
      </c>
      <c r="M140">
        <v>0.05</v>
      </c>
      <c r="N140">
        <v>74.5</v>
      </c>
      <c r="O140" t="s">
        <v>49</v>
      </c>
    </row>
    <row r="141" spans="1:15" x14ac:dyDescent="0.2">
      <c r="A141" t="s">
        <v>222</v>
      </c>
      <c r="B141" s="1">
        <v>45452</v>
      </c>
      <c r="C141" t="s">
        <v>16</v>
      </c>
      <c r="D141" t="s">
        <v>154</v>
      </c>
      <c r="E141" t="s">
        <v>120</v>
      </c>
      <c r="F141" t="s">
        <v>28</v>
      </c>
      <c r="G141" t="s">
        <v>57</v>
      </c>
      <c r="H141" t="s">
        <v>47</v>
      </c>
      <c r="I141" t="s">
        <v>77</v>
      </c>
      <c r="J141">
        <v>3</v>
      </c>
      <c r="K141">
        <v>122.36</v>
      </c>
      <c r="L141">
        <v>367.08</v>
      </c>
      <c r="M141">
        <v>0.15</v>
      </c>
      <c r="N141">
        <v>65.59</v>
      </c>
      <c r="O141" t="s">
        <v>23</v>
      </c>
    </row>
    <row r="142" spans="1:15" x14ac:dyDescent="0.2">
      <c r="A142" t="s">
        <v>223</v>
      </c>
      <c r="B142" s="1">
        <v>45702</v>
      </c>
      <c r="C142" t="s">
        <v>25</v>
      </c>
      <c r="D142" t="s">
        <v>113</v>
      </c>
      <c r="E142" t="s">
        <v>91</v>
      </c>
      <c r="F142" t="s">
        <v>19</v>
      </c>
      <c r="G142" t="s">
        <v>20</v>
      </c>
      <c r="H142" t="s">
        <v>66</v>
      </c>
      <c r="I142" t="s">
        <v>73</v>
      </c>
      <c r="J142">
        <v>8</v>
      </c>
      <c r="K142">
        <v>446.55</v>
      </c>
      <c r="L142">
        <v>3572.4</v>
      </c>
      <c r="M142">
        <v>0.15</v>
      </c>
      <c r="N142">
        <v>441.17</v>
      </c>
      <c r="O142" t="s">
        <v>37</v>
      </c>
    </row>
    <row r="143" spans="1:15" x14ac:dyDescent="0.2">
      <c r="A143" t="s">
        <v>224</v>
      </c>
      <c r="B143" s="1">
        <v>45805</v>
      </c>
      <c r="C143" t="s">
        <v>16</v>
      </c>
      <c r="D143" t="s">
        <v>130</v>
      </c>
      <c r="E143" t="s">
        <v>101</v>
      </c>
      <c r="F143" t="s">
        <v>56</v>
      </c>
      <c r="G143" t="s">
        <v>20</v>
      </c>
      <c r="H143" t="s">
        <v>47</v>
      </c>
      <c r="I143" t="s">
        <v>77</v>
      </c>
      <c r="J143">
        <v>2</v>
      </c>
      <c r="K143">
        <v>42.36</v>
      </c>
      <c r="L143">
        <v>84.72</v>
      </c>
      <c r="M143">
        <v>0.1</v>
      </c>
      <c r="N143">
        <v>18.649999999999999</v>
      </c>
      <c r="O143" t="s">
        <v>49</v>
      </c>
    </row>
    <row r="144" spans="1:15" x14ac:dyDescent="0.2">
      <c r="A144" t="s">
        <v>225</v>
      </c>
      <c r="B144" s="1">
        <v>45452</v>
      </c>
      <c r="C144" t="s">
        <v>25</v>
      </c>
      <c r="D144" t="s">
        <v>113</v>
      </c>
      <c r="E144" t="s">
        <v>91</v>
      </c>
      <c r="F144" t="s">
        <v>19</v>
      </c>
      <c r="G144" t="s">
        <v>57</v>
      </c>
      <c r="H144" t="s">
        <v>41</v>
      </c>
      <c r="I144" t="s">
        <v>86</v>
      </c>
      <c r="J144">
        <v>2</v>
      </c>
      <c r="K144">
        <v>907.39</v>
      </c>
      <c r="L144">
        <v>1814.78</v>
      </c>
      <c r="M144">
        <v>0.15</v>
      </c>
      <c r="N144">
        <v>169.8</v>
      </c>
      <c r="O144" t="s">
        <v>49</v>
      </c>
    </row>
    <row r="145" spans="1:15" x14ac:dyDescent="0.2">
      <c r="A145" t="s">
        <v>226</v>
      </c>
      <c r="B145" s="1">
        <v>45529</v>
      </c>
      <c r="C145" t="s">
        <v>25</v>
      </c>
      <c r="D145" t="s">
        <v>51</v>
      </c>
      <c r="E145" t="s">
        <v>46</v>
      </c>
      <c r="F145" t="s">
        <v>35</v>
      </c>
      <c r="G145" t="s">
        <v>20</v>
      </c>
      <c r="H145" t="s">
        <v>41</v>
      </c>
      <c r="I145" t="s">
        <v>86</v>
      </c>
      <c r="J145">
        <v>9</v>
      </c>
      <c r="K145">
        <v>78.38</v>
      </c>
      <c r="L145">
        <v>705.42</v>
      </c>
      <c r="M145">
        <v>0</v>
      </c>
      <c r="N145">
        <v>107.71</v>
      </c>
      <c r="O145" t="s">
        <v>30</v>
      </c>
    </row>
    <row r="146" spans="1:15" x14ac:dyDescent="0.2">
      <c r="A146" t="s">
        <v>227</v>
      </c>
      <c r="B146" s="1">
        <v>45689</v>
      </c>
      <c r="C146" t="s">
        <v>25</v>
      </c>
      <c r="D146" t="s">
        <v>71</v>
      </c>
      <c r="E146" t="s">
        <v>72</v>
      </c>
      <c r="F146" t="s">
        <v>28</v>
      </c>
      <c r="G146" t="s">
        <v>57</v>
      </c>
      <c r="H146" t="s">
        <v>47</v>
      </c>
      <c r="I146" t="s">
        <v>58</v>
      </c>
      <c r="J146">
        <v>9</v>
      </c>
      <c r="K146">
        <v>18.239999999999998</v>
      </c>
      <c r="L146">
        <v>164.16</v>
      </c>
      <c r="M146">
        <v>0.15</v>
      </c>
      <c r="N146">
        <v>11.99</v>
      </c>
      <c r="O146" t="s">
        <v>30</v>
      </c>
    </row>
    <row r="147" spans="1:15" x14ac:dyDescent="0.2">
      <c r="A147" t="s">
        <v>228</v>
      </c>
      <c r="B147" s="1">
        <v>45557</v>
      </c>
      <c r="C147" t="s">
        <v>25</v>
      </c>
      <c r="D147" t="s">
        <v>119</v>
      </c>
      <c r="E147" t="s">
        <v>120</v>
      </c>
      <c r="F147" t="s">
        <v>28</v>
      </c>
      <c r="G147" t="s">
        <v>57</v>
      </c>
      <c r="H147" t="s">
        <v>41</v>
      </c>
      <c r="I147" t="s">
        <v>42</v>
      </c>
      <c r="J147">
        <v>8</v>
      </c>
      <c r="K147">
        <v>624.55999999999995</v>
      </c>
      <c r="L147">
        <v>4996.4799999999996</v>
      </c>
      <c r="M147">
        <v>0.1</v>
      </c>
      <c r="N147">
        <v>531.83000000000004</v>
      </c>
      <c r="O147" t="s">
        <v>49</v>
      </c>
    </row>
    <row r="148" spans="1:15" x14ac:dyDescent="0.2">
      <c r="A148" t="s">
        <v>229</v>
      </c>
      <c r="B148" s="1">
        <v>45749</v>
      </c>
      <c r="C148" t="s">
        <v>32</v>
      </c>
      <c r="D148" t="s">
        <v>93</v>
      </c>
      <c r="E148" t="s">
        <v>61</v>
      </c>
      <c r="F148" t="s">
        <v>19</v>
      </c>
      <c r="G148" t="s">
        <v>57</v>
      </c>
      <c r="H148" t="s">
        <v>41</v>
      </c>
      <c r="I148" t="s">
        <v>63</v>
      </c>
      <c r="J148">
        <v>1</v>
      </c>
      <c r="K148">
        <v>396.14</v>
      </c>
      <c r="L148">
        <v>396.14</v>
      </c>
      <c r="M148">
        <v>0</v>
      </c>
      <c r="N148">
        <v>33.409999999999997</v>
      </c>
      <c r="O148" t="s">
        <v>30</v>
      </c>
    </row>
    <row r="149" spans="1:15" x14ac:dyDescent="0.2">
      <c r="A149" t="s">
        <v>230</v>
      </c>
      <c r="B149" s="1">
        <v>45470</v>
      </c>
      <c r="C149" t="s">
        <v>25</v>
      </c>
      <c r="D149" t="s">
        <v>124</v>
      </c>
      <c r="E149" t="s">
        <v>55</v>
      </c>
      <c r="F149" t="s">
        <v>56</v>
      </c>
      <c r="G149" t="s">
        <v>20</v>
      </c>
      <c r="H149" t="s">
        <v>47</v>
      </c>
      <c r="I149" t="s">
        <v>58</v>
      </c>
      <c r="J149">
        <v>7</v>
      </c>
      <c r="K149">
        <v>805.03</v>
      </c>
      <c r="L149">
        <v>5635.21</v>
      </c>
      <c r="M149">
        <v>0</v>
      </c>
      <c r="N149">
        <v>422.74</v>
      </c>
      <c r="O149" t="s">
        <v>23</v>
      </c>
    </row>
    <row r="150" spans="1:15" x14ac:dyDescent="0.2">
      <c r="A150" t="s">
        <v>231</v>
      </c>
      <c r="B150" s="1">
        <v>45639</v>
      </c>
      <c r="C150" t="s">
        <v>32</v>
      </c>
      <c r="D150" t="s">
        <v>154</v>
      </c>
      <c r="E150" t="s">
        <v>120</v>
      </c>
      <c r="F150" t="s">
        <v>28</v>
      </c>
      <c r="G150" t="s">
        <v>36</v>
      </c>
      <c r="H150" t="s">
        <v>21</v>
      </c>
      <c r="I150" t="s">
        <v>79</v>
      </c>
      <c r="J150">
        <v>3</v>
      </c>
      <c r="K150">
        <v>650.44000000000005</v>
      </c>
      <c r="L150">
        <v>1951.32</v>
      </c>
      <c r="M150">
        <v>0.15</v>
      </c>
      <c r="N150">
        <v>362.27</v>
      </c>
      <c r="O150" t="s">
        <v>49</v>
      </c>
    </row>
    <row r="151" spans="1:15" x14ac:dyDescent="0.2">
      <c r="A151" t="s">
        <v>232</v>
      </c>
      <c r="B151" s="1">
        <v>45530</v>
      </c>
      <c r="C151" t="s">
        <v>16</v>
      </c>
      <c r="D151" t="s">
        <v>33</v>
      </c>
      <c r="E151" t="s">
        <v>34</v>
      </c>
      <c r="F151" t="s">
        <v>35</v>
      </c>
      <c r="G151" t="s">
        <v>57</v>
      </c>
      <c r="H151" t="s">
        <v>41</v>
      </c>
      <c r="I151" t="s">
        <v>63</v>
      </c>
      <c r="J151">
        <v>2</v>
      </c>
      <c r="K151">
        <v>167.77</v>
      </c>
      <c r="L151">
        <v>335.54</v>
      </c>
      <c r="M151">
        <v>0.05</v>
      </c>
      <c r="N151">
        <v>63.04</v>
      </c>
      <c r="O151" t="s">
        <v>30</v>
      </c>
    </row>
    <row r="152" spans="1:15" x14ac:dyDescent="0.2">
      <c r="A152" t="s">
        <v>233</v>
      </c>
      <c r="B152" s="1">
        <v>45604</v>
      </c>
      <c r="C152" t="s">
        <v>44</v>
      </c>
      <c r="D152" t="s">
        <v>95</v>
      </c>
      <c r="E152" t="s">
        <v>96</v>
      </c>
      <c r="F152" t="s">
        <v>56</v>
      </c>
      <c r="G152" t="s">
        <v>36</v>
      </c>
      <c r="H152" t="s">
        <v>47</v>
      </c>
      <c r="I152" t="s">
        <v>58</v>
      </c>
      <c r="J152">
        <v>5</v>
      </c>
      <c r="K152">
        <v>570.29</v>
      </c>
      <c r="L152">
        <v>2851.45</v>
      </c>
      <c r="M152">
        <v>0.15</v>
      </c>
      <c r="N152">
        <v>145.87</v>
      </c>
      <c r="O152" t="s">
        <v>37</v>
      </c>
    </row>
    <row r="153" spans="1:15" x14ac:dyDescent="0.2">
      <c r="A153" t="s">
        <v>234</v>
      </c>
      <c r="B153" s="1">
        <v>45766</v>
      </c>
      <c r="C153" t="s">
        <v>44</v>
      </c>
      <c r="D153" t="s">
        <v>100</v>
      </c>
      <c r="E153" t="s">
        <v>101</v>
      </c>
      <c r="F153" t="s">
        <v>56</v>
      </c>
      <c r="G153" t="s">
        <v>20</v>
      </c>
      <c r="H153" t="s">
        <v>21</v>
      </c>
      <c r="I153" t="s">
        <v>52</v>
      </c>
      <c r="J153">
        <v>1</v>
      </c>
      <c r="K153">
        <v>488.52</v>
      </c>
      <c r="L153">
        <v>488.52</v>
      </c>
      <c r="M153">
        <v>0.15</v>
      </c>
      <c r="N153">
        <v>63.4</v>
      </c>
      <c r="O153" t="s">
        <v>23</v>
      </c>
    </row>
    <row r="154" spans="1:15" x14ac:dyDescent="0.2">
      <c r="A154" t="s">
        <v>235</v>
      </c>
      <c r="B154" s="1">
        <v>45471</v>
      </c>
      <c r="C154" t="s">
        <v>16</v>
      </c>
      <c r="D154" t="s">
        <v>69</v>
      </c>
      <c r="E154" t="s">
        <v>27</v>
      </c>
      <c r="F154" t="s">
        <v>28</v>
      </c>
      <c r="G154" t="s">
        <v>20</v>
      </c>
      <c r="H154" t="s">
        <v>47</v>
      </c>
      <c r="I154" t="s">
        <v>77</v>
      </c>
      <c r="J154">
        <v>9</v>
      </c>
      <c r="K154">
        <v>65.38</v>
      </c>
      <c r="L154">
        <v>588.41999999999996</v>
      </c>
      <c r="M154">
        <v>0.15</v>
      </c>
      <c r="N154">
        <v>113.95</v>
      </c>
      <c r="O154" t="s">
        <v>23</v>
      </c>
    </row>
    <row r="155" spans="1:15" x14ac:dyDescent="0.2">
      <c r="A155" t="s">
        <v>236</v>
      </c>
      <c r="B155" s="1">
        <v>45758</v>
      </c>
      <c r="C155" t="s">
        <v>32</v>
      </c>
      <c r="D155" t="s">
        <v>40</v>
      </c>
      <c r="E155" t="s">
        <v>34</v>
      </c>
      <c r="F155" t="s">
        <v>35</v>
      </c>
      <c r="G155" t="s">
        <v>36</v>
      </c>
      <c r="H155" t="s">
        <v>21</v>
      </c>
      <c r="I155" t="s">
        <v>29</v>
      </c>
      <c r="J155">
        <v>4</v>
      </c>
      <c r="K155">
        <v>470.3</v>
      </c>
      <c r="L155">
        <v>1881.2</v>
      </c>
      <c r="M155">
        <v>0.15</v>
      </c>
      <c r="N155">
        <v>154.18</v>
      </c>
      <c r="O155" t="s">
        <v>23</v>
      </c>
    </row>
    <row r="156" spans="1:15" x14ac:dyDescent="0.2">
      <c r="A156" t="s">
        <v>237</v>
      </c>
      <c r="B156" s="1">
        <v>45808</v>
      </c>
      <c r="C156" t="s">
        <v>39</v>
      </c>
      <c r="D156" t="s">
        <v>238</v>
      </c>
      <c r="E156" t="s">
        <v>143</v>
      </c>
      <c r="F156" t="s">
        <v>35</v>
      </c>
      <c r="G156" t="s">
        <v>57</v>
      </c>
      <c r="H156" t="s">
        <v>41</v>
      </c>
      <c r="I156" t="s">
        <v>86</v>
      </c>
      <c r="J156">
        <v>7</v>
      </c>
      <c r="K156">
        <v>833.41</v>
      </c>
      <c r="L156">
        <v>5833.87</v>
      </c>
      <c r="M156">
        <v>0.1</v>
      </c>
      <c r="N156">
        <v>1098.3699999999999</v>
      </c>
      <c r="O156" t="s">
        <v>49</v>
      </c>
    </row>
    <row r="157" spans="1:15" x14ac:dyDescent="0.2">
      <c r="A157" t="s">
        <v>239</v>
      </c>
      <c r="B157" s="1">
        <v>45740</v>
      </c>
      <c r="C157" t="s">
        <v>16</v>
      </c>
      <c r="D157" t="s">
        <v>113</v>
      </c>
      <c r="E157" t="s">
        <v>91</v>
      </c>
      <c r="F157" t="s">
        <v>19</v>
      </c>
      <c r="G157" t="s">
        <v>36</v>
      </c>
      <c r="H157" t="s">
        <v>41</v>
      </c>
      <c r="I157" t="s">
        <v>86</v>
      </c>
      <c r="J157">
        <v>4</v>
      </c>
      <c r="K157">
        <v>158</v>
      </c>
      <c r="L157">
        <v>632</v>
      </c>
      <c r="M157">
        <v>0.15</v>
      </c>
      <c r="N157">
        <v>37.700000000000003</v>
      </c>
      <c r="O157" t="s">
        <v>37</v>
      </c>
    </row>
    <row r="158" spans="1:15" x14ac:dyDescent="0.2">
      <c r="A158" t="s">
        <v>240</v>
      </c>
      <c r="B158" s="1">
        <v>45723</v>
      </c>
      <c r="C158" t="s">
        <v>44</v>
      </c>
      <c r="D158" t="s">
        <v>45</v>
      </c>
      <c r="E158" t="s">
        <v>46</v>
      </c>
      <c r="F158" t="s">
        <v>35</v>
      </c>
      <c r="G158" t="s">
        <v>36</v>
      </c>
      <c r="H158" t="s">
        <v>47</v>
      </c>
      <c r="I158" t="s">
        <v>58</v>
      </c>
      <c r="J158">
        <v>6</v>
      </c>
      <c r="K158">
        <v>881.14</v>
      </c>
      <c r="L158">
        <v>5286.84</v>
      </c>
      <c r="M158">
        <v>0.1</v>
      </c>
      <c r="N158">
        <v>882.09</v>
      </c>
      <c r="O158" t="s">
        <v>30</v>
      </c>
    </row>
    <row r="159" spans="1:15" x14ac:dyDescent="0.2">
      <c r="A159" t="s">
        <v>241</v>
      </c>
      <c r="B159" s="1">
        <v>45709</v>
      </c>
      <c r="C159" t="s">
        <v>16</v>
      </c>
      <c r="D159" t="s">
        <v>119</v>
      </c>
      <c r="E159" t="s">
        <v>120</v>
      </c>
      <c r="F159" t="s">
        <v>28</v>
      </c>
      <c r="G159" t="s">
        <v>36</v>
      </c>
      <c r="H159" t="s">
        <v>41</v>
      </c>
      <c r="I159" t="s">
        <v>86</v>
      </c>
      <c r="J159">
        <v>2</v>
      </c>
      <c r="K159">
        <v>562.86</v>
      </c>
      <c r="L159">
        <v>1125.72</v>
      </c>
      <c r="M159">
        <v>0.15</v>
      </c>
      <c r="N159">
        <v>97.18</v>
      </c>
      <c r="O159" t="s">
        <v>37</v>
      </c>
    </row>
    <row r="160" spans="1:15" x14ac:dyDescent="0.2">
      <c r="A160" t="s">
        <v>242</v>
      </c>
      <c r="B160" s="1">
        <v>45679</v>
      </c>
      <c r="C160" t="s">
        <v>39</v>
      </c>
      <c r="D160" t="s">
        <v>26</v>
      </c>
      <c r="E160" t="s">
        <v>27</v>
      </c>
      <c r="F160" t="s">
        <v>28</v>
      </c>
      <c r="G160" t="s">
        <v>20</v>
      </c>
      <c r="H160" t="s">
        <v>66</v>
      </c>
      <c r="I160" t="s">
        <v>67</v>
      </c>
      <c r="J160">
        <v>1</v>
      </c>
      <c r="K160">
        <v>926.78</v>
      </c>
      <c r="L160">
        <v>926.78</v>
      </c>
      <c r="M160">
        <v>0.15</v>
      </c>
      <c r="N160">
        <v>165.27</v>
      </c>
      <c r="O160" t="s">
        <v>30</v>
      </c>
    </row>
    <row r="161" spans="1:15" x14ac:dyDescent="0.2">
      <c r="A161" t="s">
        <v>243</v>
      </c>
      <c r="B161" s="1">
        <v>45523</v>
      </c>
      <c r="C161" t="s">
        <v>44</v>
      </c>
      <c r="D161" t="s">
        <v>69</v>
      </c>
      <c r="E161" t="s">
        <v>27</v>
      </c>
      <c r="F161" t="s">
        <v>28</v>
      </c>
      <c r="G161" t="s">
        <v>36</v>
      </c>
      <c r="H161" t="s">
        <v>21</v>
      </c>
      <c r="I161" t="s">
        <v>52</v>
      </c>
      <c r="J161">
        <v>2</v>
      </c>
      <c r="K161">
        <v>871.13</v>
      </c>
      <c r="L161">
        <v>1742.26</v>
      </c>
      <c r="M161">
        <v>0.1</v>
      </c>
      <c r="N161">
        <v>127.65</v>
      </c>
      <c r="O161" t="s">
        <v>37</v>
      </c>
    </row>
    <row r="162" spans="1:15" x14ac:dyDescent="0.2">
      <c r="A162" t="s">
        <v>244</v>
      </c>
      <c r="B162" s="1">
        <v>45792</v>
      </c>
      <c r="C162" t="s">
        <v>32</v>
      </c>
      <c r="D162" t="s">
        <v>124</v>
      </c>
      <c r="E162" t="s">
        <v>55</v>
      </c>
      <c r="F162" t="s">
        <v>56</v>
      </c>
      <c r="G162" t="s">
        <v>36</v>
      </c>
      <c r="H162" t="s">
        <v>66</v>
      </c>
      <c r="I162" t="s">
        <v>73</v>
      </c>
      <c r="J162">
        <v>6</v>
      </c>
      <c r="K162">
        <v>819.52</v>
      </c>
      <c r="L162">
        <v>4917.12</v>
      </c>
      <c r="M162">
        <v>0</v>
      </c>
      <c r="N162">
        <v>1080.3800000000001</v>
      </c>
      <c r="O162" t="s">
        <v>23</v>
      </c>
    </row>
    <row r="163" spans="1:15" x14ac:dyDescent="0.2">
      <c r="A163" t="s">
        <v>245</v>
      </c>
      <c r="B163" s="1">
        <v>45652</v>
      </c>
      <c r="C163" t="s">
        <v>25</v>
      </c>
      <c r="D163" t="s">
        <v>119</v>
      </c>
      <c r="E163" t="s">
        <v>120</v>
      </c>
      <c r="F163" t="s">
        <v>28</v>
      </c>
      <c r="G163" t="s">
        <v>57</v>
      </c>
      <c r="H163" t="s">
        <v>47</v>
      </c>
      <c r="I163" t="s">
        <v>58</v>
      </c>
      <c r="J163">
        <v>2</v>
      </c>
      <c r="K163">
        <v>267.48</v>
      </c>
      <c r="L163">
        <v>534.96</v>
      </c>
      <c r="M163">
        <v>0.15</v>
      </c>
      <c r="N163">
        <v>55.53</v>
      </c>
      <c r="O163" t="s">
        <v>37</v>
      </c>
    </row>
    <row r="164" spans="1:15" x14ac:dyDescent="0.2">
      <c r="A164" t="s">
        <v>246</v>
      </c>
      <c r="B164" s="1">
        <v>45506</v>
      </c>
      <c r="C164" t="s">
        <v>16</v>
      </c>
      <c r="D164" t="s">
        <v>107</v>
      </c>
      <c r="E164" t="s">
        <v>96</v>
      </c>
      <c r="F164" t="s">
        <v>56</v>
      </c>
      <c r="G164" t="s">
        <v>57</v>
      </c>
      <c r="H164" t="s">
        <v>41</v>
      </c>
      <c r="I164" t="s">
        <v>63</v>
      </c>
      <c r="J164">
        <v>8</v>
      </c>
      <c r="K164">
        <v>951.94</v>
      </c>
      <c r="L164">
        <v>7615.52</v>
      </c>
      <c r="M164">
        <v>0.2</v>
      </c>
      <c r="N164">
        <v>1272.8399999999999</v>
      </c>
      <c r="O164" t="s">
        <v>49</v>
      </c>
    </row>
    <row r="165" spans="1:15" x14ac:dyDescent="0.2">
      <c r="A165" t="s">
        <v>247</v>
      </c>
      <c r="B165" s="1">
        <v>45522</v>
      </c>
      <c r="C165" t="s">
        <v>44</v>
      </c>
      <c r="D165" t="s">
        <v>107</v>
      </c>
      <c r="E165" t="s">
        <v>96</v>
      </c>
      <c r="F165" t="s">
        <v>56</v>
      </c>
      <c r="G165" t="s">
        <v>36</v>
      </c>
      <c r="H165" t="s">
        <v>66</v>
      </c>
      <c r="I165" t="s">
        <v>81</v>
      </c>
      <c r="J165">
        <v>6</v>
      </c>
      <c r="K165">
        <v>316.17</v>
      </c>
      <c r="L165">
        <v>1897.02</v>
      </c>
      <c r="M165">
        <v>0.05</v>
      </c>
      <c r="N165">
        <v>246.56</v>
      </c>
      <c r="O165" t="s">
        <v>30</v>
      </c>
    </row>
    <row r="166" spans="1:15" x14ac:dyDescent="0.2">
      <c r="A166" t="s">
        <v>248</v>
      </c>
      <c r="B166" s="1">
        <v>45545</v>
      </c>
      <c r="C166" t="s">
        <v>44</v>
      </c>
      <c r="D166" t="s">
        <v>76</v>
      </c>
      <c r="E166" t="s">
        <v>18</v>
      </c>
      <c r="F166" t="s">
        <v>19</v>
      </c>
      <c r="G166" t="s">
        <v>57</v>
      </c>
      <c r="H166" t="s">
        <v>47</v>
      </c>
      <c r="I166" t="s">
        <v>77</v>
      </c>
      <c r="J166">
        <v>7</v>
      </c>
      <c r="K166">
        <v>886.01</v>
      </c>
      <c r="L166">
        <v>6202.07</v>
      </c>
      <c r="M166">
        <v>0.2</v>
      </c>
      <c r="N166">
        <v>1114.93</v>
      </c>
      <c r="O166" t="s">
        <v>49</v>
      </c>
    </row>
    <row r="167" spans="1:15" x14ac:dyDescent="0.2">
      <c r="A167" t="s">
        <v>249</v>
      </c>
      <c r="B167" s="1">
        <v>45599</v>
      </c>
      <c r="C167" t="s">
        <v>16</v>
      </c>
      <c r="D167" t="s">
        <v>104</v>
      </c>
      <c r="E167" t="s">
        <v>72</v>
      </c>
      <c r="F167" t="s">
        <v>28</v>
      </c>
      <c r="G167" t="s">
        <v>57</v>
      </c>
      <c r="H167" t="s">
        <v>66</v>
      </c>
      <c r="I167" t="s">
        <v>67</v>
      </c>
      <c r="J167">
        <v>9</v>
      </c>
      <c r="K167">
        <v>625.11</v>
      </c>
      <c r="L167">
        <v>5625.99</v>
      </c>
      <c r="M167">
        <v>0.2</v>
      </c>
      <c r="N167">
        <v>811.98</v>
      </c>
      <c r="O167" t="s">
        <v>37</v>
      </c>
    </row>
    <row r="168" spans="1:15" x14ac:dyDescent="0.2">
      <c r="A168" t="s">
        <v>250</v>
      </c>
      <c r="B168" s="1">
        <v>45478</v>
      </c>
      <c r="C168" t="s">
        <v>32</v>
      </c>
      <c r="D168" t="s">
        <v>95</v>
      </c>
      <c r="E168" t="s">
        <v>96</v>
      </c>
      <c r="F168" t="s">
        <v>56</v>
      </c>
      <c r="G168" t="s">
        <v>36</v>
      </c>
      <c r="H168" t="s">
        <v>66</v>
      </c>
      <c r="I168" t="s">
        <v>73</v>
      </c>
      <c r="J168">
        <v>7</v>
      </c>
      <c r="K168">
        <v>725.65</v>
      </c>
      <c r="L168">
        <v>5079.55</v>
      </c>
      <c r="M168">
        <v>0.05</v>
      </c>
      <c r="N168">
        <v>743.59</v>
      </c>
      <c r="O168" t="s">
        <v>23</v>
      </c>
    </row>
    <row r="169" spans="1:15" x14ac:dyDescent="0.2">
      <c r="A169" t="s">
        <v>251</v>
      </c>
      <c r="B169" s="1">
        <v>45609</v>
      </c>
      <c r="C169" t="s">
        <v>44</v>
      </c>
      <c r="D169" t="s">
        <v>26</v>
      </c>
      <c r="E169" t="s">
        <v>27</v>
      </c>
      <c r="F169" t="s">
        <v>28</v>
      </c>
      <c r="G169" t="s">
        <v>57</v>
      </c>
      <c r="H169" t="s">
        <v>66</v>
      </c>
      <c r="I169" t="s">
        <v>81</v>
      </c>
      <c r="J169">
        <v>1</v>
      </c>
      <c r="K169">
        <v>29.84</v>
      </c>
      <c r="L169">
        <v>29.84</v>
      </c>
      <c r="M169">
        <v>0.2</v>
      </c>
      <c r="N169">
        <v>4.0199999999999996</v>
      </c>
      <c r="O169" t="s">
        <v>37</v>
      </c>
    </row>
    <row r="170" spans="1:15" x14ac:dyDescent="0.2">
      <c r="A170" t="s">
        <v>252</v>
      </c>
      <c r="B170" s="1">
        <v>45614</v>
      </c>
      <c r="C170" t="s">
        <v>32</v>
      </c>
      <c r="D170" t="s">
        <v>54</v>
      </c>
      <c r="E170" t="s">
        <v>55</v>
      </c>
      <c r="F170" t="s">
        <v>56</v>
      </c>
      <c r="G170" t="s">
        <v>57</v>
      </c>
      <c r="H170" t="s">
        <v>41</v>
      </c>
      <c r="I170" t="s">
        <v>42</v>
      </c>
      <c r="J170">
        <v>9</v>
      </c>
      <c r="K170">
        <v>355.76</v>
      </c>
      <c r="L170">
        <v>3201.84</v>
      </c>
      <c r="M170">
        <v>0</v>
      </c>
      <c r="N170">
        <v>644.57000000000005</v>
      </c>
      <c r="O170" t="s">
        <v>23</v>
      </c>
    </row>
    <row r="171" spans="1:15" x14ac:dyDescent="0.2">
      <c r="A171" t="s">
        <v>253</v>
      </c>
      <c r="B171" s="1">
        <v>45731</v>
      </c>
      <c r="C171" t="s">
        <v>16</v>
      </c>
      <c r="D171" t="s">
        <v>142</v>
      </c>
      <c r="E171" t="s">
        <v>143</v>
      </c>
      <c r="F171" t="s">
        <v>35</v>
      </c>
      <c r="G171" t="s">
        <v>57</v>
      </c>
      <c r="H171" t="s">
        <v>21</v>
      </c>
      <c r="I171" t="s">
        <v>29</v>
      </c>
      <c r="J171">
        <v>10</v>
      </c>
      <c r="K171">
        <v>566.47</v>
      </c>
      <c r="L171">
        <v>5664.7</v>
      </c>
      <c r="M171">
        <v>0.2</v>
      </c>
      <c r="N171">
        <v>992</v>
      </c>
      <c r="O171" t="s">
        <v>37</v>
      </c>
    </row>
    <row r="172" spans="1:15" x14ac:dyDescent="0.2">
      <c r="A172" t="s">
        <v>254</v>
      </c>
      <c r="B172" s="1">
        <v>45456</v>
      </c>
      <c r="C172" t="s">
        <v>16</v>
      </c>
      <c r="D172" t="s">
        <v>33</v>
      </c>
      <c r="E172" t="s">
        <v>34</v>
      </c>
      <c r="F172" t="s">
        <v>35</v>
      </c>
      <c r="G172" t="s">
        <v>20</v>
      </c>
      <c r="H172" t="s">
        <v>41</v>
      </c>
      <c r="I172" t="s">
        <v>42</v>
      </c>
      <c r="J172">
        <v>2</v>
      </c>
      <c r="K172">
        <v>329.19</v>
      </c>
      <c r="L172">
        <v>658.38</v>
      </c>
      <c r="M172">
        <v>0.2</v>
      </c>
      <c r="N172">
        <v>46.62</v>
      </c>
      <c r="O172" t="s">
        <v>37</v>
      </c>
    </row>
    <row r="173" spans="1:15" x14ac:dyDescent="0.2">
      <c r="A173" t="s">
        <v>255</v>
      </c>
      <c r="B173" s="1">
        <v>45708</v>
      </c>
      <c r="C173" t="s">
        <v>16</v>
      </c>
      <c r="D173" t="s">
        <v>119</v>
      </c>
      <c r="E173" t="s">
        <v>120</v>
      </c>
      <c r="F173" t="s">
        <v>28</v>
      </c>
      <c r="G173" t="s">
        <v>36</v>
      </c>
      <c r="H173" t="s">
        <v>66</v>
      </c>
      <c r="I173" t="s">
        <v>67</v>
      </c>
      <c r="J173">
        <v>1</v>
      </c>
      <c r="K173">
        <v>426.04</v>
      </c>
      <c r="L173">
        <v>426.04</v>
      </c>
      <c r="M173">
        <v>0.05</v>
      </c>
      <c r="N173">
        <v>58.79</v>
      </c>
      <c r="O173" t="s">
        <v>30</v>
      </c>
    </row>
    <row r="174" spans="1:15" x14ac:dyDescent="0.2">
      <c r="A174" t="s">
        <v>256</v>
      </c>
      <c r="B174" s="1">
        <v>45665</v>
      </c>
      <c r="C174" t="s">
        <v>44</v>
      </c>
      <c r="D174" t="s">
        <v>238</v>
      </c>
      <c r="E174" t="s">
        <v>143</v>
      </c>
      <c r="F174" t="s">
        <v>35</v>
      </c>
      <c r="G174" t="s">
        <v>20</v>
      </c>
      <c r="H174" t="s">
        <v>47</v>
      </c>
      <c r="I174" t="s">
        <v>77</v>
      </c>
      <c r="J174">
        <v>5</v>
      </c>
      <c r="K174">
        <v>585.14</v>
      </c>
      <c r="L174">
        <v>2925.7</v>
      </c>
      <c r="M174">
        <v>0.15</v>
      </c>
      <c r="N174">
        <v>619.98</v>
      </c>
      <c r="O174" t="s">
        <v>49</v>
      </c>
    </row>
    <row r="175" spans="1:15" x14ac:dyDescent="0.2">
      <c r="A175" t="s">
        <v>257</v>
      </c>
      <c r="B175" s="1">
        <v>45555</v>
      </c>
      <c r="C175" t="s">
        <v>44</v>
      </c>
      <c r="D175" t="s">
        <v>107</v>
      </c>
      <c r="E175" t="s">
        <v>96</v>
      </c>
      <c r="F175" t="s">
        <v>56</v>
      </c>
      <c r="G175" t="s">
        <v>36</v>
      </c>
      <c r="H175" t="s">
        <v>47</v>
      </c>
      <c r="I175" t="s">
        <v>48</v>
      </c>
      <c r="J175">
        <v>8</v>
      </c>
      <c r="K175">
        <v>131.13</v>
      </c>
      <c r="L175">
        <v>1049.04</v>
      </c>
      <c r="M175">
        <v>0.2</v>
      </c>
      <c r="N175">
        <v>186.86</v>
      </c>
      <c r="O175" t="s">
        <v>49</v>
      </c>
    </row>
    <row r="176" spans="1:15" x14ac:dyDescent="0.2">
      <c r="A176" t="s">
        <v>258</v>
      </c>
      <c r="B176" s="1">
        <v>45557</v>
      </c>
      <c r="C176" t="s">
        <v>39</v>
      </c>
      <c r="D176" t="s">
        <v>130</v>
      </c>
      <c r="E176" t="s">
        <v>101</v>
      </c>
      <c r="F176" t="s">
        <v>56</v>
      </c>
      <c r="G176" t="s">
        <v>20</v>
      </c>
      <c r="H176" t="s">
        <v>21</v>
      </c>
      <c r="I176" t="s">
        <v>79</v>
      </c>
      <c r="J176">
        <v>2</v>
      </c>
      <c r="K176">
        <v>602.4</v>
      </c>
      <c r="L176">
        <v>1204.8</v>
      </c>
      <c r="M176">
        <v>0.15</v>
      </c>
      <c r="N176">
        <v>73.8</v>
      </c>
      <c r="O176" t="s">
        <v>23</v>
      </c>
    </row>
    <row r="177" spans="1:15" x14ac:dyDescent="0.2">
      <c r="A177" t="s">
        <v>259</v>
      </c>
      <c r="B177" s="1">
        <v>45740</v>
      </c>
      <c r="C177" t="s">
        <v>32</v>
      </c>
      <c r="D177" t="s">
        <v>45</v>
      </c>
      <c r="E177" t="s">
        <v>46</v>
      </c>
      <c r="F177" t="s">
        <v>35</v>
      </c>
      <c r="G177" t="s">
        <v>57</v>
      </c>
      <c r="H177" t="s">
        <v>66</v>
      </c>
      <c r="I177" t="s">
        <v>73</v>
      </c>
      <c r="J177">
        <v>6</v>
      </c>
      <c r="K177">
        <v>304.64999999999998</v>
      </c>
      <c r="L177">
        <v>1827.9</v>
      </c>
      <c r="M177">
        <v>0.15</v>
      </c>
      <c r="N177">
        <v>86.38</v>
      </c>
      <c r="O177" t="s">
        <v>23</v>
      </c>
    </row>
    <row r="178" spans="1:15" x14ac:dyDescent="0.2">
      <c r="A178" t="s">
        <v>260</v>
      </c>
      <c r="B178" s="1">
        <v>45491</v>
      </c>
      <c r="C178" t="s">
        <v>25</v>
      </c>
      <c r="D178" t="s">
        <v>95</v>
      </c>
      <c r="E178" t="s">
        <v>96</v>
      </c>
      <c r="F178" t="s">
        <v>56</v>
      </c>
      <c r="G178" t="s">
        <v>36</v>
      </c>
      <c r="H178" t="s">
        <v>41</v>
      </c>
      <c r="I178" t="s">
        <v>63</v>
      </c>
      <c r="J178">
        <v>8</v>
      </c>
      <c r="K178">
        <v>4.08</v>
      </c>
      <c r="L178">
        <v>32.64</v>
      </c>
      <c r="M178">
        <v>0.2</v>
      </c>
      <c r="N178">
        <v>3.13</v>
      </c>
      <c r="O178" t="s">
        <v>37</v>
      </c>
    </row>
    <row r="179" spans="1:15" x14ac:dyDescent="0.2">
      <c r="A179" t="s">
        <v>261</v>
      </c>
      <c r="B179" s="1">
        <v>45702</v>
      </c>
      <c r="C179" t="s">
        <v>44</v>
      </c>
      <c r="D179" t="s">
        <v>124</v>
      </c>
      <c r="E179" t="s">
        <v>55</v>
      </c>
      <c r="F179" t="s">
        <v>56</v>
      </c>
      <c r="G179" t="s">
        <v>57</v>
      </c>
      <c r="H179" t="s">
        <v>21</v>
      </c>
      <c r="I179" t="s">
        <v>29</v>
      </c>
      <c r="J179">
        <v>7</v>
      </c>
      <c r="K179">
        <v>476.28</v>
      </c>
      <c r="L179">
        <v>3333.96</v>
      </c>
      <c r="M179">
        <v>0.2</v>
      </c>
      <c r="N179">
        <v>204.2</v>
      </c>
      <c r="O179" t="s">
        <v>23</v>
      </c>
    </row>
    <row r="180" spans="1:15" x14ac:dyDescent="0.2">
      <c r="A180" t="s">
        <v>262</v>
      </c>
      <c r="B180" s="1">
        <v>45640</v>
      </c>
      <c r="C180" t="s">
        <v>39</v>
      </c>
      <c r="D180" t="s">
        <v>100</v>
      </c>
      <c r="E180" t="s">
        <v>101</v>
      </c>
      <c r="F180" t="s">
        <v>56</v>
      </c>
      <c r="G180" t="s">
        <v>20</v>
      </c>
      <c r="H180" t="s">
        <v>41</v>
      </c>
      <c r="I180" t="s">
        <v>86</v>
      </c>
      <c r="J180">
        <v>2</v>
      </c>
      <c r="K180">
        <v>800.21</v>
      </c>
      <c r="L180">
        <v>1600.42</v>
      </c>
      <c r="M180">
        <v>0.2</v>
      </c>
      <c r="N180">
        <v>168.91</v>
      </c>
      <c r="O180" t="s">
        <v>23</v>
      </c>
    </row>
    <row r="181" spans="1:15" x14ac:dyDescent="0.2">
      <c r="A181" t="s">
        <v>263</v>
      </c>
      <c r="B181" s="1">
        <v>45477</v>
      </c>
      <c r="C181" t="s">
        <v>16</v>
      </c>
      <c r="D181" t="s">
        <v>142</v>
      </c>
      <c r="E181" t="s">
        <v>143</v>
      </c>
      <c r="F181" t="s">
        <v>35</v>
      </c>
      <c r="G181" t="s">
        <v>20</v>
      </c>
      <c r="H181" t="s">
        <v>41</v>
      </c>
      <c r="I181" t="s">
        <v>42</v>
      </c>
      <c r="J181">
        <v>2</v>
      </c>
      <c r="K181">
        <v>866.22</v>
      </c>
      <c r="L181">
        <v>1732.44</v>
      </c>
      <c r="M181">
        <v>0</v>
      </c>
      <c r="N181">
        <v>284.81</v>
      </c>
      <c r="O181" t="s">
        <v>23</v>
      </c>
    </row>
    <row r="182" spans="1:15" x14ac:dyDescent="0.2">
      <c r="A182" t="s">
        <v>264</v>
      </c>
      <c r="B182" s="1">
        <v>45763</v>
      </c>
      <c r="C182" t="s">
        <v>39</v>
      </c>
      <c r="D182" t="s">
        <v>69</v>
      </c>
      <c r="E182" t="s">
        <v>27</v>
      </c>
      <c r="F182" t="s">
        <v>28</v>
      </c>
      <c r="G182" t="s">
        <v>20</v>
      </c>
      <c r="H182" t="s">
        <v>66</v>
      </c>
      <c r="I182" t="s">
        <v>73</v>
      </c>
      <c r="J182">
        <v>10</v>
      </c>
      <c r="K182">
        <v>522.71</v>
      </c>
      <c r="L182">
        <v>5227.1000000000004</v>
      </c>
      <c r="M182">
        <v>0.15</v>
      </c>
      <c r="N182">
        <v>668.8</v>
      </c>
      <c r="O182" t="s">
        <v>30</v>
      </c>
    </row>
    <row r="183" spans="1:15" x14ac:dyDescent="0.2">
      <c r="A183" t="s">
        <v>265</v>
      </c>
      <c r="B183" s="1">
        <v>45785</v>
      </c>
      <c r="C183" t="s">
        <v>39</v>
      </c>
      <c r="D183" t="s">
        <v>93</v>
      </c>
      <c r="E183" t="s">
        <v>61</v>
      </c>
      <c r="F183" t="s">
        <v>19</v>
      </c>
      <c r="G183" t="s">
        <v>36</v>
      </c>
      <c r="H183" t="s">
        <v>21</v>
      </c>
      <c r="I183" t="s">
        <v>52</v>
      </c>
      <c r="J183">
        <v>2</v>
      </c>
      <c r="K183">
        <v>807.31</v>
      </c>
      <c r="L183">
        <v>1614.62</v>
      </c>
      <c r="M183">
        <v>0.2</v>
      </c>
      <c r="N183">
        <v>147.36000000000001</v>
      </c>
      <c r="O183" t="s">
        <v>49</v>
      </c>
    </row>
    <row r="184" spans="1:15" x14ac:dyDescent="0.2">
      <c r="A184" t="s">
        <v>266</v>
      </c>
      <c r="B184" s="1">
        <v>45571</v>
      </c>
      <c r="C184" t="s">
        <v>39</v>
      </c>
      <c r="D184" t="s">
        <v>71</v>
      </c>
      <c r="E184" t="s">
        <v>72</v>
      </c>
      <c r="F184" t="s">
        <v>28</v>
      </c>
      <c r="G184" t="s">
        <v>57</v>
      </c>
      <c r="H184" t="s">
        <v>21</v>
      </c>
      <c r="I184" t="s">
        <v>29</v>
      </c>
      <c r="J184">
        <v>9</v>
      </c>
      <c r="K184">
        <v>318.75</v>
      </c>
      <c r="L184">
        <v>2868.75</v>
      </c>
      <c r="M184">
        <v>0.1</v>
      </c>
      <c r="N184">
        <v>176.1</v>
      </c>
      <c r="O184" t="s">
        <v>30</v>
      </c>
    </row>
    <row r="185" spans="1:15" x14ac:dyDescent="0.2">
      <c r="A185" t="s">
        <v>267</v>
      </c>
      <c r="B185" s="1">
        <v>45561</v>
      </c>
      <c r="C185" t="s">
        <v>25</v>
      </c>
      <c r="D185" t="s">
        <v>45</v>
      </c>
      <c r="E185" t="s">
        <v>46</v>
      </c>
      <c r="F185" t="s">
        <v>35</v>
      </c>
      <c r="G185" t="s">
        <v>36</v>
      </c>
      <c r="H185" t="s">
        <v>21</v>
      </c>
      <c r="I185" t="s">
        <v>79</v>
      </c>
      <c r="J185">
        <v>5</v>
      </c>
      <c r="K185">
        <v>952.26</v>
      </c>
      <c r="L185">
        <v>4761.3</v>
      </c>
      <c r="M185">
        <v>0.05</v>
      </c>
      <c r="N185">
        <v>279.45999999999998</v>
      </c>
      <c r="O185" t="s">
        <v>37</v>
      </c>
    </row>
    <row r="186" spans="1:15" x14ac:dyDescent="0.2">
      <c r="A186" t="s">
        <v>268</v>
      </c>
      <c r="B186" s="1">
        <v>45638</v>
      </c>
      <c r="C186" t="s">
        <v>25</v>
      </c>
      <c r="D186" t="s">
        <v>69</v>
      </c>
      <c r="E186" t="s">
        <v>27</v>
      </c>
      <c r="F186" t="s">
        <v>28</v>
      </c>
      <c r="G186" t="s">
        <v>57</v>
      </c>
      <c r="H186" t="s">
        <v>66</v>
      </c>
      <c r="I186" t="s">
        <v>81</v>
      </c>
      <c r="J186">
        <v>6</v>
      </c>
      <c r="K186">
        <v>144.18</v>
      </c>
      <c r="L186">
        <v>865.08</v>
      </c>
      <c r="M186">
        <v>0.1</v>
      </c>
      <c r="N186">
        <v>79.09</v>
      </c>
      <c r="O186" t="s">
        <v>30</v>
      </c>
    </row>
    <row r="187" spans="1:15" x14ac:dyDescent="0.2">
      <c r="A187" t="s">
        <v>269</v>
      </c>
      <c r="B187" s="1">
        <v>45592</v>
      </c>
      <c r="C187" t="s">
        <v>16</v>
      </c>
      <c r="D187" t="s">
        <v>60</v>
      </c>
      <c r="E187" t="s">
        <v>61</v>
      </c>
      <c r="F187" t="s">
        <v>19</v>
      </c>
      <c r="G187" t="s">
        <v>20</v>
      </c>
      <c r="H187" t="s">
        <v>21</v>
      </c>
      <c r="I187" t="s">
        <v>52</v>
      </c>
      <c r="J187">
        <v>2</v>
      </c>
      <c r="K187">
        <v>270.75</v>
      </c>
      <c r="L187">
        <v>541.5</v>
      </c>
      <c r="M187">
        <v>0.1</v>
      </c>
      <c r="N187">
        <v>69.67</v>
      </c>
      <c r="O187" t="s">
        <v>49</v>
      </c>
    </row>
    <row r="188" spans="1:15" x14ac:dyDescent="0.2">
      <c r="A188" t="s">
        <v>270</v>
      </c>
      <c r="B188" s="1">
        <v>45457</v>
      </c>
      <c r="C188" t="s">
        <v>39</v>
      </c>
      <c r="D188" t="s">
        <v>95</v>
      </c>
      <c r="E188" t="s">
        <v>96</v>
      </c>
      <c r="F188" t="s">
        <v>56</v>
      </c>
      <c r="G188" t="s">
        <v>36</v>
      </c>
      <c r="H188" t="s">
        <v>47</v>
      </c>
      <c r="I188" t="s">
        <v>77</v>
      </c>
      <c r="J188">
        <v>9</v>
      </c>
      <c r="K188">
        <v>963.55</v>
      </c>
      <c r="L188">
        <v>8671.9500000000007</v>
      </c>
      <c r="M188">
        <v>0</v>
      </c>
      <c r="N188">
        <v>860.81</v>
      </c>
      <c r="O188" t="s">
        <v>23</v>
      </c>
    </row>
    <row r="189" spans="1:15" x14ac:dyDescent="0.2">
      <c r="A189" t="s">
        <v>271</v>
      </c>
      <c r="B189" s="1">
        <v>45610</v>
      </c>
      <c r="C189" t="s">
        <v>44</v>
      </c>
      <c r="D189" t="s">
        <v>130</v>
      </c>
      <c r="E189" t="s">
        <v>101</v>
      </c>
      <c r="F189" t="s">
        <v>56</v>
      </c>
      <c r="G189" t="s">
        <v>36</v>
      </c>
      <c r="H189" t="s">
        <v>41</v>
      </c>
      <c r="I189" t="s">
        <v>42</v>
      </c>
      <c r="J189">
        <v>6</v>
      </c>
      <c r="K189">
        <v>541.36</v>
      </c>
      <c r="L189">
        <v>3248.16</v>
      </c>
      <c r="M189">
        <v>0.05</v>
      </c>
      <c r="N189">
        <v>636.91</v>
      </c>
      <c r="O189" t="s">
        <v>37</v>
      </c>
    </row>
    <row r="190" spans="1:15" x14ac:dyDescent="0.2">
      <c r="A190" t="s">
        <v>272</v>
      </c>
      <c r="B190" s="1">
        <v>45463</v>
      </c>
      <c r="C190" t="s">
        <v>16</v>
      </c>
      <c r="D190" t="s">
        <v>107</v>
      </c>
      <c r="E190" t="s">
        <v>96</v>
      </c>
      <c r="F190" t="s">
        <v>56</v>
      </c>
      <c r="G190" t="s">
        <v>20</v>
      </c>
      <c r="H190" t="s">
        <v>47</v>
      </c>
      <c r="I190" t="s">
        <v>48</v>
      </c>
      <c r="J190">
        <v>3</v>
      </c>
      <c r="K190">
        <v>2.54</v>
      </c>
      <c r="L190">
        <v>7.62</v>
      </c>
      <c r="M190">
        <v>0.15</v>
      </c>
      <c r="N190">
        <v>0.68</v>
      </c>
      <c r="O190" t="s">
        <v>23</v>
      </c>
    </row>
    <row r="191" spans="1:15" x14ac:dyDescent="0.2">
      <c r="A191" t="s">
        <v>273</v>
      </c>
      <c r="B191" s="1">
        <v>45629</v>
      </c>
      <c r="C191" t="s">
        <v>44</v>
      </c>
      <c r="D191" t="s">
        <v>130</v>
      </c>
      <c r="E191" t="s">
        <v>101</v>
      </c>
      <c r="F191" t="s">
        <v>56</v>
      </c>
      <c r="G191" t="s">
        <v>20</v>
      </c>
      <c r="H191" t="s">
        <v>66</v>
      </c>
      <c r="I191" t="s">
        <v>73</v>
      </c>
      <c r="J191">
        <v>1</v>
      </c>
      <c r="K191">
        <v>163.09</v>
      </c>
      <c r="L191">
        <v>163.09</v>
      </c>
      <c r="M191">
        <v>0.2</v>
      </c>
      <c r="N191">
        <v>21.22</v>
      </c>
      <c r="O191" t="s">
        <v>23</v>
      </c>
    </row>
    <row r="192" spans="1:15" x14ac:dyDescent="0.2">
      <c r="A192" t="s">
        <v>274</v>
      </c>
      <c r="B192" s="1">
        <v>45487</v>
      </c>
      <c r="C192" t="s">
        <v>39</v>
      </c>
      <c r="D192" t="s">
        <v>54</v>
      </c>
      <c r="E192" t="s">
        <v>55</v>
      </c>
      <c r="F192" t="s">
        <v>56</v>
      </c>
      <c r="G192" t="s">
        <v>20</v>
      </c>
      <c r="H192" t="s">
        <v>66</v>
      </c>
      <c r="I192" t="s">
        <v>81</v>
      </c>
      <c r="J192">
        <v>7</v>
      </c>
      <c r="K192">
        <v>212.43</v>
      </c>
      <c r="L192">
        <v>1487.01</v>
      </c>
      <c r="M192">
        <v>0.2</v>
      </c>
      <c r="N192">
        <v>287.27</v>
      </c>
      <c r="O192" t="s">
        <v>23</v>
      </c>
    </row>
    <row r="193" spans="1:15" x14ac:dyDescent="0.2">
      <c r="A193" t="s">
        <v>275</v>
      </c>
      <c r="B193" s="1">
        <v>45614</v>
      </c>
      <c r="C193" t="s">
        <v>16</v>
      </c>
      <c r="D193" t="s">
        <v>238</v>
      </c>
      <c r="E193" t="s">
        <v>143</v>
      </c>
      <c r="F193" t="s">
        <v>35</v>
      </c>
      <c r="G193" t="s">
        <v>57</v>
      </c>
      <c r="H193" t="s">
        <v>66</v>
      </c>
      <c r="I193" t="s">
        <v>73</v>
      </c>
      <c r="J193">
        <v>6</v>
      </c>
      <c r="K193">
        <v>342.95</v>
      </c>
      <c r="L193">
        <v>2057.6999999999998</v>
      </c>
      <c r="M193">
        <v>0.15</v>
      </c>
      <c r="N193">
        <v>422.92</v>
      </c>
      <c r="O193" t="s">
        <v>37</v>
      </c>
    </row>
    <row r="194" spans="1:15" x14ac:dyDescent="0.2">
      <c r="A194" t="s">
        <v>276</v>
      </c>
      <c r="B194" s="1">
        <v>45670</v>
      </c>
      <c r="C194" t="s">
        <v>44</v>
      </c>
      <c r="D194" t="s">
        <v>76</v>
      </c>
      <c r="E194" t="s">
        <v>18</v>
      </c>
      <c r="F194" t="s">
        <v>19</v>
      </c>
      <c r="G194" t="s">
        <v>57</v>
      </c>
      <c r="H194" t="s">
        <v>66</v>
      </c>
      <c r="I194" t="s">
        <v>81</v>
      </c>
      <c r="J194">
        <v>1</v>
      </c>
      <c r="K194">
        <v>673.36</v>
      </c>
      <c r="L194">
        <v>673.36</v>
      </c>
      <c r="M194">
        <v>0.15</v>
      </c>
      <c r="N194">
        <v>92.24</v>
      </c>
      <c r="O194" t="s">
        <v>30</v>
      </c>
    </row>
    <row r="195" spans="1:15" x14ac:dyDescent="0.2">
      <c r="A195" s="2" t="s">
        <v>277</v>
      </c>
      <c r="B195" s="1">
        <v>45644</v>
      </c>
      <c r="C195" t="s">
        <v>44</v>
      </c>
      <c r="D195" t="s">
        <v>69</v>
      </c>
      <c r="E195" t="s">
        <v>27</v>
      </c>
      <c r="F195" t="s">
        <v>28</v>
      </c>
      <c r="G195" t="s">
        <v>36</v>
      </c>
      <c r="H195" t="s">
        <v>47</v>
      </c>
      <c r="I195" t="s">
        <v>58</v>
      </c>
      <c r="J195">
        <v>2</v>
      </c>
      <c r="K195">
        <v>354.29</v>
      </c>
      <c r="L195">
        <v>708.58</v>
      </c>
      <c r="M195">
        <v>0.15</v>
      </c>
      <c r="N195">
        <v>129.79</v>
      </c>
      <c r="O195" t="s">
        <v>49</v>
      </c>
    </row>
    <row r="196" spans="1:15" x14ac:dyDescent="0.2">
      <c r="A196" t="s">
        <v>278</v>
      </c>
      <c r="B196" s="1">
        <v>45505</v>
      </c>
      <c r="C196" t="s">
        <v>32</v>
      </c>
      <c r="D196" t="s">
        <v>76</v>
      </c>
      <c r="E196" t="s">
        <v>18</v>
      </c>
      <c r="F196" t="s">
        <v>19</v>
      </c>
      <c r="G196" t="s">
        <v>57</v>
      </c>
      <c r="H196" t="s">
        <v>66</v>
      </c>
      <c r="I196" t="s">
        <v>67</v>
      </c>
      <c r="J196">
        <v>4</v>
      </c>
      <c r="K196">
        <v>445.69</v>
      </c>
      <c r="L196">
        <v>1782.76</v>
      </c>
      <c r="M196">
        <v>0.05</v>
      </c>
      <c r="N196">
        <v>336.4</v>
      </c>
      <c r="O196" t="s">
        <v>23</v>
      </c>
    </row>
    <row r="197" spans="1:15" x14ac:dyDescent="0.2">
      <c r="A197" t="s">
        <v>279</v>
      </c>
      <c r="B197" s="1">
        <v>45464</v>
      </c>
      <c r="C197" t="s">
        <v>44</v>
      </c>
      <c r="D197" t="s">
        <v>45</v>
      </c>
      <c r="E197" t="s">
        <v>46</v>
      </c>
      <c r="F197" t="s">
        <v>35</v>
      </c>
      <c r="G197" t="s">
        <v>20</v>
      </c>
      <c r="H197" t="s">
        <v>66</v>
      </c>
      <c r="I197" t="s">
        <v>73</v>
      </c>
      <c r="J197">
        <v>4</v>
      </c>
      <c r="K197">
        <v>235.79</v>
      </c>
      <c r="L197">
        <v>943.16</v>
      </c>
      <c r="M197">
        <v>0.15</v>
      </c>
      <c r="N197">
        <v>195.18</v>
      </c>
      <c r="O197" t="s">
        <v>23</v>
      </c>
    </row>
    <row r="198" spans="1:15" x14ac:dyDescent="0.2">
      <c r="A198" t="s">
        <v>280</v>
      </c>
      <c r="B198" s="1">
        <v>45613</v>
      </c>
      <c r="C198" t="s">
        <v>32</v>
      </c>
      <c r="D198" t="s">
        <v>54</v>
      </c>
      <c r="E198" t="s">
        <v>55</v>
      </c>
      <c r="F198" t="s">
        <v>56</v>
      </c>
      <c r="G198" t="s">
        <v>36</v>
      </c>
      <c r="H198" t="s">
        <v>21</v>
      </c>
      <c r="I198" t="s">
        <v>22</v>
      </c>
      <c r="J198">
        <v>2</v>
      </c>
      <c r="K198">
        <v>870.18</v>
      </c>
      <c r="L198">
        <v>1740.36</v>
      </c>
      <c r="M198">
        <v>0.2</v>
      </c>
      <c r="N198">
        <v>208.93</v>
      </c>
      <c r="O198" t="s">
        <v>49</v>
      </c>
    </row>
    <row r="199" spans="1:15" x14ac:dyDescent="0.2">
      <c r="A199" s="2" t="s">
        <v>281</v>
      </c>
      <c r="B199" s="1">
        <v>45755</v>
      </c>
      <c r="C199" t="s">
        <v>32</v>
      </c>
      <c r="D199" t="s">
        <v>76</v>
      </c>
      <c r="E199" t="s">
        <v>18</v>
      </c>
      <c r="F199" t="s">
        <v>19</v>
      </c>
      <c r="G199" t="s">
        <v>20</v>
      </c>
      <c r="H199" t="s">
        <v>41</v>
      </c>
      <c r="I199" t="s">
        <v>86</v>
      </c>
      <c r="J199">
        <v>2</v>
      </c>
      <c r="K199">
        <v>129.18</v>
      </c>
      <c r="L199">
        <v>258.36</v>
      </c>
      <c r="M199">
        <v>0.2</v>
      </c>
      <c r="N199">
        <v>45.7</v>
      </c>
      <c r="O199" t="s">
        <v>37</v>
      </c>
    </row>
    <row r="200" spans="1:15" x14ac:dyDescent="0.2">
      <c r="A200" t="s">
        <v>282</v>
      </c>
      <c r="B200" s="1">
        <v>45571</v>
      </c>
      <c r="C200" t="s">
        <v>44</v>
      </c>
      <c r="D200" t="s">
        <v>26</v>
      </c>
      <c r="E200" t="s">
        <v>27</v>
      </c>
      <c r="F200" t="s">
        <v>28</v>
      </c>
      <c r="G200" t="s">
        <v>57</v>
      </c>
      <c r="H200" t="s">
        <v>66</v>
      </c>
      <c r="I200" t="s">
        <v>81</v>
      </c>
      <c r="J200">
        <v>7</v>
      </c>
      <c r="K200">
        <v>641.67999999999995</v>
      </c>
      <c r="L200">
        <v>4491.76</v>
      </c>
      <c r="M200">
        <v>0</v>
      </c>
      <c r="N200">
        <v>991.65</v>
      </c>
      <c r="O200" t="s">
        <v>30</v>
      </c>
    </row>
    <row r="201" spans="1:15" x14ac:dyDescent="0.2">
      <c r="A201" t="s">
        <v>283</v>
      </c>
      <c r="B201" s="1">
        <v>45655</v>
      </c>
      <c r="C201" t="s">
        <v>44</v>
      </c>
      <c r="D201" t="s">
        <v>130</v>
      </c>
      <c r="E201" t="s">
        <v>101</v>
      </c>
      <c r="F201" t="s">
        <v>56</v>
      </c>
      <c r="G201" t="s">
        <v>57</v>
      </c>
      <c r="H201" t="s">
        <v>66</v>
      </c>
      <c r="I201" t="s">
        <v>67</v>
      </c>
      <c r="J201">
        <v>6</v>
      </c>
      <c r="K201">
        <v>518.22</v>
      </c>
      <c r="L201">
        <v>3109.32</v>
      </c>
      <c r="M201">
        <v>0</v>
      </c>
      <c r="N201">
        <v>705.07</v>
      </c>
      <c r="O201" t="s">
        <v>49</v>
      </c>
    </row>
    <row r="202" spans="1:15" x14ac:dyDescent="0.2">
      <c r="A202" t="s">
        <v>284</v>
      </c>
      <c r="B202" s="1">
        <v>45489</v>
      </c>
      <c r="C202" t="s">
        <v>25</v>
      </c>
      <c r="D202" t="s">
        <v>40</v>
      </c>
      <c r="E202" t="s">
        <v>34</v>
      </c>
      <c r="F202" t="s">
        <v>35</v>
      </c>
      <c r="G202" t="s">
        <v>36</v>
      </c>
      <c r="H202" t="s">
        <v>41</v>
      </c>
      <c r="I202" t="s">
        <v>63</v>
      </c>
      <c r="J202">
        <v>4</v>
      </c>
      <c r="K202">
        <v>336.04</v>
      </c>
      <c r="L202">
        <v>1344.16</v>
      </c>
      <c r="M202">
        <v>0.2</v>
      </c>
      <c r="N202">
        <v>227.47</v>
      </c>
      <c r="O202" t="s">
        <v>49</v>
      </c>
    </row>
    <row r="203" spans="1:15" x14ac:dyDescent="0.2">
      <c r="A203" t="s">
        <v>285</v>
      </c>
      <c r="B203" s="1">
        <v>45767</v>
      </c>
      <c r="C203" t="s">
        <v>39</v>
      </c>
      <c r="D203" t="s">
        <v>107</v>
      </c>
      <c r="E203" t="s">
        <v>96</v>
      </c>
      <c r="F203" t="s">
        <v>56</v>
      </c>
      <c r="G203" t="s">
        <v>36</v>
      </c>
      <c r="H203" t="s">
        <v>41</v>
      </c>
      <c r="I203" t="s">
        <v>86</v>
      </c>
      <c r="J203">
        <v>5</v>
      </c>
      <c r="K203">
        <v>64.72</v>
      </c>
      <c r="L203">
        <v>323.60000000000002</v>
      </c>
      <c r="M203">
        <v>0</v>
      </c>
      <c r="N203">
        <v>17.98</v>
      </c>
      <c r="O203" t="s">
        <v>23</v>
      </c>
    </row>
    <row r="204" spans="1:15" x14ac:dyDescent="0.2">
      <c r="A204" t="s">
        <v>286</v>
      </c>
      <c r="B204" s="1">
        <v>45663</v>
      </c>
      <c r="C204" t="s">
        <v>32</v>
      </c>
      <c r="D204" t="s">
        <v>33</v>
      </c>
      <c r="E204" t="s">
        <v>34</v>
      </c>
      <c r="F204" t="s">
        <v>35</v>
      </c>
      <c r="G204" t="s">
        <v>57</v>
      </c>
      <c r="H204" t="s">
        <v>47</v>
      </c>
      <c r="I204" t="s">
        <v>77</v>
      </c>
      <c r="J204">
        <v>6</v>
      </c>
      <c r="K204">
        <v>832.85</v>
      </c>
      <c r="L204">
        <v>4997.1000000000004</v>
      </c>
      <c r="M204">
        <v>0.1</v>
      </c>
      <c r="N204">
        <v>692.31</v>
      </c>
      <c r="O204" t="s">
        <v>37</v>
      </c>
    </row>
    <row r="205" spans="1:15" x14ac:dyDescent="0.2">
      <c r="A205" t="s">
        <v>287</v>
      </c>
      <c r="B205" s="1">
        <v>45597</v>
      </c>
      <c r="C205" t="s">
        <v>44</v>
      </c>
      <c r="D205" t="s">
        <v>95</v>
      </c>
      <c r="E205" t="s">
        <v>96</v>
      </c>
      <c r="F205" t="s">
        <v>56</v>
      </c>
      <c r="G205" t="s">
        <v>36</v>
      </c>
      <c r="H205" t="s">
        <v>41</v>
      </c>
      <c r="I205" t="s">
        <v>63</v>
      </c>
      <c r="J205">
        <v>1</v>
      </c>
      <c r="K205">
        <v>916.88</v>
      </c>
      <c r="L205">
        <v>916.88</v>
      </c>
      <c r="M205">
        <v>0.15</v>
      </c>
      <c r="N205">
        <v>87.8</v>
      </c>
      <c r="O205" t="s">
        <v>30</v>
      </c>
    </row>
    <row r="206" spans="1:15" x14ac:dyDescent="0.2">
      <c r="A206" t="s">
        <v>288</v>
      </c>
      <c r="B206" s="1">
        <v>45539</v>
      </c>
      <c r="C206" t="s">
        <v>25</v>
      </c>
      <c r="D206" t="s">
        <v>104</v>
      </c>
      <c r="E206" t="s">
        <v>72</v>
      </c>
      <c r="F206" t="s">
        <v>28</v>
      </c>
      <c r="G206" t="s">
        <v>20</v>
      </c>
      <c r="H206" t="s">
        <v>21</v>
      </c>
      <c r="I206" t="s">
        <v>79</v>
      </c>
      <c r="J206">
        <v>2</v>
      </c>
      <c r="K206">
        <v>103.62</v>
      </c>
      <c r="L206">
        <v>207.24</v>
      </c>
      <c r="M206">
        <v>0</v>
      </c>
      <c r="N206">
        <v>33.54</v>
      </c>
      <c r="O206" t="s">
        <v>49</v>
      </c>
    </row>
    <row r="207" spans="1:15" x14ac:dyDescent="0.2">
      <c r="A207" t="s">
        <v>289</v>
      </c>
      <c r="B207" s="1">
        <v>45547</v>
      </c>
      <c r="C207" t="s">
        <v>39</v>
      </c>
      <c r="D207" t="s">
        <v>95</v>
      </c>
      <c r="E207" t="s">
        <v>96</v>
      </c>
      <c r="F207" t="s">
        <v>56</v>
      </c>
      <c r="G207" t="s">
        <v>20</v>
      </c>
      <c r="H207" t="s">
        <v>66</v>
      </c>
      <c r="I207" t="s">
        <v>67</v>
      </c>
      <c r="J207">
        <v>8</v>
      </c>
      <c r="K207">
        <v>385.15</v>
      </c>
      <c r="L207">
        <v>3081.2</v>
      </c>
      <c r="M207">
        <v>0.15</v>
      </c>
      <c r="N207">
        <v>591.87</v>
      </c>
      <c r="O207" t="s">
        <v>30</v>
      </c>
    </row>
    <row r="208" spans="1:15" x14ac:dyDescent="0.2">
      <c r="A208" t="s">
        <v>290</v>
      </c>
      <c r="B208" s="1">
        <v>45511</v>
      </c>
      <c r="C208" t="s">
        <v>44</v>
      </c>
      <c r="D208" t="s">
        <v>71</v>
      </c>
      <c r="E208" t="s">
        <v>72</v>
      </c>
      <c r="F208" t="s">
        <v>28</v>
      </c>
      <c r="G208" t="s">
        <v>36</v>
      </c>
      <c r="H208" t="s">
        <v>21</v>
      </c>
      <c r="I208" t="s">
        <v>22</v>
      </c>
      <c r="J208">
        <v>2</v>
      </c>
      <c r="K208">
        <v>14.26</v>
      </c>
      <c r="L208">
        <v>28.52</v>
      </c>
      <c r="M208">
        <v>0</v>
      </c>
      <c r="N208">
        <v>4.8099999999999996</v>
      </c>
      <c r="O208" t="s">
        <v>30</v>
      </c>
    </row>
    <row r="209" spans="1:15" x14ac:dyDescent="0.2">
      <c r="A209" t="s">
        <v>291</v>
      </c>
      <c r="B209" s="1">
        <v>45802</v>
      </c>
      <c r="C209" t="s">
        <v>25</v>
      </c>
      <c r="D209" t="s">
        <v>17</v>
      </c>
      <c r="E209" t="s">
        <v>18</v>
      </c>
      <c r="F209" t="s">
        <v>19</v>
      </c>
      <c r="G209" t="s">
        <v>57</v>
      </c>
      <c r="H209" t="s">
        <v>41</v>
      </c>
      <c r="I209" t="s">
        <v>86</v>
      </c>
      <c r="J209">
        <v>10</v>
      </c>
      <c r="K209">
        <v>445.74</v>
      </c>
      <c r="L209">
        <v>4457.3999999999996</v>
      </c>
      <c r="M209">
        <v>0.05</v>
      </c>
      <c r="N209">
        <v>328.32</v>
      </c>
      <c r="O209" t="s">
        <v>49</v>
      </c>
    </row>
    <row r="210" spans="1:15" x14ac:dyDescent="0.2">
      <c r="A210" t="s">
        <v>292</v>
      </c>
      <c r="B210" s="1">
        <v>45680</v>
      </c>
      <c r="C210" t="s">
        <v>44</v>
      </c>
      <c r="D210" t="s">
        <v>90</v>
      </c>
      <c r="E210" t="s">
        <v>91</v>
      </c>
      <c r="F210" t="s">
        <v>19</v>
      </c>
      <c r="G210" t="s">
        <v>20</v>
      </c>
      <c r="H210" t="s">
        <v>21</v>
      </c>
      <c r="I210" t="s">
        <v>52</v>
      </c>
      <c r="J210">
        <v>5</v>
      </c>
      <c r="K210">
        <v>584.5</v>
      </c>
      <c r="L210">
        <v>2922.5</v>
      </c>
      <c r="M210">
        <v>0.2</v>
      </c>
      <c r="N210">
        <v>479.52</v>
      </c>
      <c r="O210" t="s">
        <v>23</v>
      </c>
    </row>
    <row r="211" spans="1:15" x14ac:dyDescent="0.2">
      <c r="A211" t="s">
        <v>293</v>
      </c>
      <c r="B211" s="1">
        <v>45708</v>
      </c>
      <c r="C211" t="s">
        <v>25</v>
      </c>
      <c r="D211" t="s">
        <v>238</v>
      </c>
      <c r="E211" t="s">
        <v>143</v>
      </c>
      <c r="F211" t="s">
        <v>35</v>
      </c>
      <c r="G211" t="s">
        <v>57</v>
      </c>
      <c r="H211" t="s">
        <v>41</v>
      </c>
      <c r="I211" t="s">
        <v>42</v>
      </c>
      <c r="J211">
        <v>9</v>
      </c>
      <c r="K211">
        <v>587.27</v>
      </c>
      <c r="L211">
        <v>5285.43</v>
      </c>
      <c r="M211">
        <v>0.05</v>
      </c>
      <c r="N211">
        <v>308.62</v>
      </c>
      <c r="O211" t="s">
        <v>30</v>
      </c>
    </row>
    <row r="212" spans="1:15" x14ac:dyDescent="0.2">
      <c r="A212" t="s">
        <v>294</v>
      </c>
      <c r="B212" s="1">
        <v>45729</v>
      </c>
      <c r="C212" t="s">
        <v>39</v>
      </c>
      <c r="D212" t="s">
        <v>45</v>
      </c>
      <c r="E212" t="s">
        <v>46</v>
      </c>
      <c r="F212" t="s">
        <v>35</v>
      </c>
      <c r="G212" t="s">
        <v>36</v>
      </c>
      <c r="H212" t="s">
        <v>21</v>
      </c>
      <c r="I212" t="s">
        <v>29</v>
      </c>
      <c r="J212">
        <v>4</v>
      </c>
      <c r="K212">
        <v>668.52</v>
      </c>
      <c r="L212">
        <v>2674.08</v>
      </c>
      <c r="M212">
        <v>0.15</v>
      </c>
      <c r="N212">
        <v>386.3</v>
      </c>
      <c r="O212" t="s">
        <v>23</v>
      </c>
    </row>
    <row r="213" spans="1:15" x14ac:dyDescent="0.2">
      <c r="A213" t="s">
        <v>295</v>
      </c>
      <c r="B213" s="1">
        <v>45606</v>
      </c>
      <c r="C213" t="s">
        <v>16</v>
      </c>
      <c r="D213" t="s">
        <v>238</v>
      </c>
      <c r="E213" t="s">
        <v>143</v>
      </c>
      <c r="F213" t="s">
        <v>35</v>
      </c>
      <c r="G213" t="s">
        <v>57</v>
      </c>
      <c r="H213" t="s">
        <v>66</v>
      </c>
      <c r="I213" t="s">
        <v>73</v>
      </c>
      <c r="J213">
        <v>2</v>
      </c>
      <c r="K213">
        <v>455.39</v>
      </c>
      <c r="L213">
        <v>910.78</v>
      </c>
      <c r="M213">
        <v>0</v>
      </c>
      <c r="N213">
        <v>135.88</v>
      </c>
      <c r="O213" t="s">
        <v>37</v>
      </c>
    </row>
    <row r="214" spans="1:15" x14ac:dyDescent="0.2">
      <c r="A214" t="s">
        <v>296</v>
      </c>
      <c r="B214" s="1">
        <v>45740</v>
      </c>
      <c r="C214" t="s">
        <v>39</v>
      </c>
      <c r="D214" t="s">
        <v>113</v>
      </c>
      <c r="E214" t="s">
        <v>91</v>
      </c>
      <c r="F214" t="s">
        <v>19</v>
      </c>
      <c r="G214" t="s">
        <v>57</v>
      </c>
      <c r="H214" t="s">
        <v>21</v>
      </c>
      <c r="I214" t="s">
        <v>79</v>
      </c>
      <c r="J214">
        <v>7</v>
      </c>
      <c r="K214">
        <v>206.91</v>
      </c>
      <c r="L214">
        <v>1448.37</v>
      </c>
      <c r="M214">
        <v>0.05</v>
      </c>
      <c r="N214">
        <v>296.13</v>
      </c>
      <c r="O214" t="s">
        <v>23</v>
      </c>
    </row>
    <row r="215" spans="1:15" x14ac:dyDescent="0.2">
      <c r="A215" t="s">
        <v>297</v>
      </c>
      <c r="B215" s="1">
        <v>45653</v>
      </c>
      <c r="C215" t="s">
        <v>32</v>
      </c>
      <c r="D215" t="s">
        <v>119</v>
      </c>
      <c r="E215" t="s">
        <v>120</v>
      </c>
      <c r="F215" t="s">
        <v>28</v>
      </c>
      <c r="G215" t="s">
        <v>20</v>
      </c>
      <c r="H215" t="s">
        <v>21</v>
      </c>
      <c r="I215" t="s">
        <v>22</v>
      </c>
      <c r="J215">
        <v>3</v>
      </c>
      <c r="K215">
        <v>292</v>
      </c>
      <c r="L215">
        <v>876</v>
      </c>
      <c r="M215">
        <v>0.05</v>
      </c>
      <c r="N215">
        <v>146.69</v>
      </c>
      <c r="O215" t="s">
        <v>30</v>
      </c>
    </row>
    <row r="216" spans="1:15" x14ac:dyDescent="0.2">
      <c r="A216" t="s">
        <v>298</v>
      </c>
      <c r="B216" s="1">
        <v>45460</v>
      </c>
      <c r="C216" t="s">
        <v>25</v>
      </c>
      <c r="D216" t="s">
        <v>154</v>
      </c>
      <c r="E216" t="s">
        <v>120</v>
      </c>
      <c r="F216" t="s">
        <v>28</v>
      </c>
      <c r="G216" t="s">
        <v>36</v>
      </c>
      <c r="H216" t="s">
        <v>66</v>
      </c>
      <c r="I216" t="s">
        <v>81</v>
      </c>
      <c r="J216">
        <v>5</v>
      </c>
      <c r="K216">
        <v>719.4</v>
      </c>
      <c r="L216">
        <v>3597</v>
      </c>
      <c r="M216">
        <v>0.1</v>
      </c>
      <c r="N216">
        <v>710.61</v>
      </c>
      <c r="O216" t="s">
        <v>37</v>
      </c>
    </row>
    <row r="217" spans="1:15" x14ac:dyDescent="0.2">
      <c r="A217" t="s">
        <v>299</v>
      </c>
      <c r="B217" s="1">
        <v>45502</v>
      </c>
      <c r="C217" t="s">
        <v>25</v>
      </c>
      <c r="D217" t="s">
        <v>60</v>
      </c>
      <c r="E217" t="s">
        <v>61</v>
      </c>
      <c r="F217" t="s">
        <v>19</v>
      </c>
      <c r="G217" t="s">
        <v>36</v>
      </c>
      <c r="H217" t="s">
        <v>41</v>
      </c>
      <c r="I217" t="s">
        <v>63</v>
      </c>
      <c r="J217">
        <v>3</v>
      </c>
      <c r="K217">
        <v>380.16</v>
      </c>
      <c r="L217">
        <v>1140.48</v>
      </c>
      <c r="M217">
        <v>0</v>
      </c>
      <c r="N217">
        <v>134.21</v>
      </c>
      <c r="O217" t="s">
        <v>30</v>
      </c>
    </row>
    <row r="218" spans="1:15" x14ac:dyDescent="0.2">
      <c r="A218" t="s">
        <v>300</v>
      </c>
      <c r="B218" s="1">
        <v>45465</v>
      </c>
      <c r="C218" t="s">
        <v>25</v>
      </c>
      <c r="D218" t="s">
        <v>95</v>
      </c>
      <c r="E218" t="s">
        <v>96</v>
      </c>
      <c r="F218" t="s">
        <v>56</v>
      </c>
      <c r="G218" t="s">
        <v>20</v>
      </c>
      <c r="H218" t="s">
        <v>41</v>
      </c>
      <c r="I218" t="s">
        <v>42</v>
      </c>
      <c r="J218">
        <v>9</v>
      </c>
      <c r="K218">
        <v>977.15</v>
      </c>
      <c r="L218">
        <v>8794.35</v>
      </c>
      <c r="M218">
        <v>0.2</v>
      </c>
      <c r="N218">
        <v>1592.36</v>
      </c>
      <c r="O218" t="s">
        <v>37</v>
      </c>
    </row>
    <row r="219" spans="1:15" x14ac:dyDescent="0.2">
      <c r="A219" t="s">
        <v>301</v>
      </c>
      <c r="B219" s="1">
        <v>45453</v>
      </c>
      <c r="C219" t="s">
        <v>39</v>
      </c>
      <c r="D219" t="s">
        <v>60</v>
      </c>
      <c r="E219" t="s">
        <v>61</v>
      </c>
      <c r="F219" t="s">
        <v>19</v>
      </c>
      <c r="G219" t="s">
        <v>20</v>
      </c>
      <c r="H219" t="s">
        <v>21</v>
      </c>
      <c r="I219" t="s">
        <v>52</v>
      </c>
      <c r="J219">
        <v>6</v>
      </c>
      <c r="K219">
        <v>319.32</v>
      </c>
      <c r="L219">
        <v>1915.92</v>
      </c>
      <c r="M219">
        <v>0.15</v>
      </c>
      <c r="N219">
        <v>399.64</v>
      </c>
      <c r="O219" t="s">
        <v>49</v>
      </c>
    </row>
    <row r="220" spans="1:15" x14ac:dyDescent="0.2">
      <c r="A220" t="s">
        <v>302</v>
      </c>
      <c r="B220" s="1">
        <v>45633</v>
      </c>
      <c r="C220" t="s">
        <v>39</v>
      </c>
      <c r="D220" t="s">
        <v>17</v>
      </c>
      <c r="E220" t="s">
        <v>18</v>
      </c>
      <c r="F220" t="s">
        <v>19</v>
      </c>
      <c r="G220" t="s">
        <v>57</v>
      </c>
      <c r="H220" t="s">
        <v>41</v>
      </c>
      <c r="I220" t="s">
        <v>63</v>
      </c>
      <c r="J220">
        <v>1</v>
      </c>
      <c r="K220">
        <v>630.20000000000005</v>
      </c>
      <c r="L220">
        <v>630.20000000000005</v>
      </c>
      <c r="M220">
        <v>0.1</v>
      </c>
      <c r="N220">
        <v>127.37</v>
      </c>
      <c r="O220" t="s">
        <v>37</v>
      </c>
    </row>
    <row r="221" spans="1:15" x14ac:dyDescent="0.2">
      <c r="A221" t="s">
        <v>303</v>
      </c>
      <c r="B221" s="1">
        <v>45518</v>
      </c>
      <c r="C221" t="s">
        <v>39</v>
      </c>
      <c r="D221" t="s">
        <v>104</v>
      </c>
      <c r="E221" t="s">
        <v>72</v>
      </c>
      <c r="F221" t="s">
        <v>28</v>
      </c>
      <c r="G221" t="s">
        <v>20</v>
      </c>
      <c r="H221" t="s">
        <v>47</v>
      </c>
      <c r="I221" t="s">
        <v>77</v>
      </c>
      <c r="J221">
        <v>9</v>
      </c>
      <c r="K221">
        <v>375.52</v>
      </c>
      <c r="L221">
        <v>3379.68</v>
      </c>
      <c r="M221">
        <v>0.2</v>
      </c>
      <c r="N221">
        <v>386.24</v>
      </c>
      <c r="O221" t="s">
        <v>49</v>
      </c>
    </row>
    <row r="222" spans="1:15" x14ac:dyDescent="0.2">
      <c r="A222" t="s">
        <v>304</v>
      </c>
      <c r="B222" s="1">
        <v>45737</v>
      </c>
      <c r="C222" t="s">
        <v>16</v>
      </c>
      <c r="D222" t="s">
        <v>238</v>
      </c>
      <c r="E222" t="s">
        <v>143</v>
      </c>
      <c r="F222" t="s">
        <v>35</v>
      </c>
      <c r="G222" t="s">
        <v>57</v>
      </c>
      <c r="H222" t="s">
        <v>66</v>
      </c>
      <c r="I222" t="s">
        <v>73</v>
      </c>
      <c r="J222">
        <v>10</v>
      </c>
      <c r="K222">
        <v>402.14</v>
      </c>
      <c r="L222">
        <v>4021.4</v>
      </c>
      <c r="M222">
        <v>0.2</v>
      </c>
      <c r="N222">
        <v>578.91</v>
      </c>
      <c r="O222" t="s">
        <v>23</v>
      </c>
    </row>
    <row r="223" spans="1:15" x14ac:dyDescent="0.2">
      <c r="A223" t="s">
        <v>305</v>
      </c>
      <c r="B223" s="1">
        <v>45765</v>
      </c>
      <c r="C223" t="s">
        <v>16</v>
      </c>
      <c r="D223" t="s">
        <v>113</v>
      </c>
      <c r="E223" t="s">
        <v>91</v>
      </c>
      <c r="F223" t="s">
        <v>19</v>
      </c>
      <c r="G223" t="s">
        <v>36</v>
      </c>
      <c r="H223" t="s">
        <v>41</v>
      </c>
      <c r="I223" t="s">
        <v>63</v>
      </c>
      <c r="J223">
        <v>7</v>
      </c>
      <c r="K223">
        <v>888.93</v>
      </c>
      <c r="L223">
        <v>6222.51</v>
      </c>
      <c r="M223">
        <v>0.2</v>
      </c>
      <c r="N223">
        <v>405.42</v>
      </c>
      <c r="O223" t="s">
        <v>23</v>
      </c>
    </row>
    <row r="224" spans="1:15" x14ac:dyDescent="0.2">
      <c r="A224" t="s">
        <v>306</v>
      </c>
      <c r="B224" s="1">
        <v>45512</v>
      </c>
      <c r="C224" t="s">
        <v>25</v>
      </c>
      <c r="D224" t="s">
        <v>154</v>
      </c>
      <c r="E224" t="s">
        <v>120</v>
      </c>
      <c r="F224" t="s">
        <v>28</v>
      </c>
      <c r="G224" t="s">
        <v>57</v>
      </c>
      <c r="H224" t="s">
        <v>66</v>
      </c>
      <c r="I224" t="s">
        <v>67</v>
      </c>
      <c r="J224">
        <v>4</v>
      </c>
      <c r="K224">
        <v>584.79</v>
      </c>
      <c r="L224">
        <v>2339.16</v>
      </c>
      <c r="M224">
        <v>0.15</v>
      </c>
      <c r="N224">
        <v>303.12</v>
      </c>
      <c r="O224" t="s">
        <v>23</v>
      </c>
    </row>
    <row r="225" spans="1:15" x14ac:dyDescent="0.2">
      <c r="A225" t="s">
        <v>307</v>
      </c>
      <c r="B225" s="1">
        <v>45651</v>
      </c>
      <c r="C225" t="s">
        <v>16</v>
      </c>
      <c r="D225" t="s">
        <v>100</v>
      </c>
      <c r="E225" t="s">
        <v>101</v>
      </c>
      <c r="F225" t="s">
        <v>56</v>
      </c>
      <c r="G225" t="s">
        <v>57</v>
      </c>
      <c r="H225" t="s">
        <v>66</v>
      </c>
      <c r="I225" t="s">
        <v>67</v>
      </c>
      <c r="J225">
        <v>6</v>
      </c>
      <c r="K225">
        <v>274.47000000000003</v>
      </c>
      <c r="L225">
        <v>1646.82</v>
      </c>
      <c r="M225">
        <v>0</v>
      </c>
      <c r="N225">
        <v>141.47999999999999</v>
      </c>
      <c r="O225" t="s">
        <v>49</v>
      </c>
    </row>
    <row r="226" spans="1:15" x14ac:dyDescent="0.2">
      <c r="A226" t="s">
        <v>308</v>
      </c>
      <c r="B226" s="1">
        <v>45667</v>
      </c>
      <c r="C226" t="s">
        <v>25</v>
      </c>
      <c r="D226" t="s">
        <v>104</v>
      </c>
      <c r="E226" t="s">
        <v>72</v>
      </c>
      <c r="F226" t="s">
        <v>28</v>
      </c>
      <c r="G226" t="s">
        <v>20</v>
      </c>
      <c r="H226" t="s">
        <v>41</v>
      </c>
      <c r="I226" t="s">
        <v>42</v>
      </c>
      <c r="J226">
        <v>5</v>
      </c>
      <c r="K226">
        <v>926.75</v>
      </c>
      <c r="L226">
        <v>4633.75</v>
      </c>
      <c r="M226">
        <v>0</v>
      </c>
      <c r="N226">
        <v>341.59</v>
      </c>
      <c r="O226" t="s">
        <v>30</v>
      </c>
    </row>
    <row r="227" spans="1:15" x14ac:dyDescent="0.2">
      <c r="A227" t="s">
        <v>309</v>
      </c>
      <c r="B227" s="1">
        <v>45556</v>
      </c>
      <c r="C227" t="s">
        <v>25</v>
      </c>
      <c r="D227" t="s">
        <v>113</v>
      </c>
      <c r="E227" t="s">
        <v>91</v>
      </c>
      <c r="F227" t="s">
        <v>19</v>
      </c>
      <c r="G227" t="s">
        <v>57</v>
      </c>
      <c r="H227" t="s">
        <v>66</v>
      </c>
      <c r="I227" t="s">
        <v>81</v>
      </c>
      <c r="J227">
        <v>5</v>
      </c>
      <c r="K227">
        <v>192.26</v>
      </c>
      <c r="L227">
        <v>961.3</v>
      </c>
      <c r="M227">
        <v>0.2</v>
      </c>
      <c r="N227">
        <v>191.95</v>
      </c>
      <c r="O227" t="s">
        <v>23</v>
      </c>
    </row>
    <row r="228" spans="1:15" x14ac:dyDescent="0.2">
      <c r="A228" t="s">
        <v>310</v>
      </c>
      <c r="B228" s="1">
        <v>45710</v>
      </c>
      <c r="C228" t="s">
        <v>16</v>
      </c>
      <c r="D228" t="s">
        <v>40</v>
      </c>
      <c r="E228" t="s">
        <v>34</v>
      </c>
      <c r="F228" t="s">
        <v>35</v>
      </c>
      <c r="G228" t="s">
        <v>57</v>
      </c>
      <c r="H228" t="s">
        <v>66</v>
      </c>
      <c r="I228" t="s">
        <v>81</v>
      </c>
      <c r="J228">
        <v>8</v>
      </c>
      <c r="K228">
        <v>654.78</v>
      </c>
      <c r="L228">
        <v>5238.24</v>
      </c>
      <c r="M228">
        <v>0.05</v>
      </c>
      <c r="N228">
        <v>1110.19</v>
      </c>
      <c r="O228" t="s">
        <v>30</v>
      </c>
    </row>
    <row r="229" spans="1:15" x14ac:dyDescent="0.2">
      <c r="A229" t="s">
        <v>311</v>
      </c>
      <c r="B229" s="1">
        <v>45771</v>
      </c>
      <c r="C229" t="s">
        <v>44</v>
      </c>
      <c r="D229" t="s">
        <v>113</v>
      </c>
      <c r="E229" t="s">
        <v>91</v>
      </c>
      <c r="F229" t="s">
        <v>19</v>
      </c>
      <c r="G229" t="s">
        <v>20</v>
      </c>
      <c r="H229" t="s">
        <v>41</v>
      </c>
      <c r="I229" t="s">
        <v>63</v>
      </c>
      <c r="J229">
        <v>8</v>
      </c>
      <c r="K229">
        <v>341.98</v>
      </c>
      <c r="L229">
        <v>2735.84</v>
      </c>
      <c r="M229">
        <v>0</v>
      </c>
      <c r="N229">
        <v>308.10000000000002</v>
      </c>
      <c r="O229" t="s">
        <v>49</v>
      </c>
    </row>
    <row r="230" spans="1:15" x14ac:dyDescent="0.2">
      <c r="A230" t="s">
        <v>312</v>
      </c>
      <c r="B230" s="1">
        <v>45794</v>
      </c>
      <c r="C230" t="s">
        <v>16</v>
      </c>
      <c r="D230" t="s">
        <v>95</v>
      </c>
      <c r="E230" t="s">
        <v>96</v>
      </c>
      <c r="F230" t="s">
        <v>56</v>
      </c>
      <c r="G230" t="s">
        <v>20</v>
      </c>
      <c r="H230" t="s">
        <v>41</v>
      </c>
      <c r="I230" t="s">
        <v>42</v>
      </c>
      <c r="J230">
        <v>6</v>
      </c>
      <c r="K230">
        <v>140.66999999999999</v>
      </c>
      <c r="L230">
        <v>844.02</v>
      </c>
      <c r="M230">
        <v>0.05</v>
      </c>
      <c r="N230">
        <v>89.09</v>
      </c>
      <c r="O230" t="s">
        <v>30</v>
      </c>
    </row>
    <row r="231" spans="1:15" x14ac:dyDescent="0.2">
      <c r="A231" t="s">
        <v>313</v>
      </c>
      <c r="B231" s="1">
        <v>45717</v>
      </c>
      <c r="C231" t="s">
        <v>16</v>
      </c>
      <c r="D231" t="s">
        <v>33</v>
      </c>
      <c r="E231" t="s">
        <v>34</v>
      </c>
      <c r="F231" t="s">
        <v>35</v>
      </c>
      <c r="G231" t="s">
        <v>57</v>
      </c>
      <c r="H231" t="s">
        <v>21</v>
      </c>
      <c r="I231" t="s">
        <v>29</v>
      </c>
      <c r="J231">
        <v>9</v>
      </c>
      <c r="K231">
        <v>301.04000000000002</v>
      </c>
      <c r="L231">
        <v>2709.36</v>
      </c>
      <c r="M231">
        <v>0.2</v>
      </c>
      <c r="N231">
        <v>118.45</v>
      </c>
      <c r="O231" t="s">
        <v>49</v>
      </c>
    </row>
    <row r="232" spans="1:15" x14ac:dyDescent="0.2">
      <c r="A232" t="s">
        <v>314</v>
      </c>
      <c r="B232" s="1">
        <v>45493</v>
      </c>
      <c r="C232" t="s">
        <v>16</v>
      </c>
      <c r="D232" t="s">
        <v>90</v>
      </c>
      <c r="E232" t="s">
        <v>91</v>
      </c>
      <c r="F232" t="s">
        <v>19</v>
      </c>
      <c r="G232" t="s">
        <v>36</v>
      </c>
      <c r="H232" t="s">
        <v>21</v>
      </c>
      <c r="I232" t="s">
        <v>79</v>
      </c>
      <c r="J232">
        <v>2</v>
      </c>
      <c r="K232">
        <v>535.41999999999996</v>
      </c>
      <c r="L232">
        <v>1070.8399999999999</v>
      </c>
      <c r="M232">
        <v>0.05</v>
      </c>
      <c r="N232">
        <v>147.46</v>
      </c>
      <c r="O232" t="s">
        <v>49</v>
      </c>
    </row>
    <row r="233" spans="1:15" x14ac:dyDescent="0.2">
      <c r="A233" t="s">
        <v>315</v>
      </c>
      <c r="B233" s="1">
        <v>45582</v>
      </c>
      <c r="C233" t="s">
        <v>32</v>
      </c>
      <c r="D233" t="s">
        <v>124</v>
      </c>
      <c r="E233" t="s">
        <v>55</v>
      </c>
      <c r="F233" t="s">
        <v>56</v>
      </c>
      <c r="G233" t="s">
        <v>36</v>
      </c>
      <c r="H233" t="s">
        <v>66</v>
      </c>
      <c r="I233" t="s">
        <v>73</v>
      </c>
      <c r="J233">
        <v>9</v>
      </c>
      <c r="K233">
        <v>179.28</v>
      </c>
      <c r="L233">
        <v>1613.52</v>
      </c>
      <c r="M233">
        <v>0.2</v>
      </c>
      <c r="N233">
        <v>190.68</v>
      </c>
      <c r="O233" t="s">
        <v>30</v>
      </c>
    </row>
    <row r="234" spans="1:15" x14ac:dyDescent="0.2">
      <c r="A234" s="2" t="s">
        <v>316</v>
      </c>
      <c r="B234" s="1">
        <v>45580</v>
      </c>
      <c r="C234" t="s">
        <v>39</v>
      </c>
      <c r="D234" t="s">
        <v>71</v>
      </c>
      <c r="E234" t="s">
        <v>72</v>
      </c>
      <c r="F234" t="s">
        <v>28</v>
      </c>
      <c r="G234" t="s">
        <v>36</v>
      </c>
      <c r="H234" t="s">
        <v>41</v>
      </c>
      <c r="I234" t="s">
        <v>63</v>
      </c>
      <c r="J234">
        <v>9</v>
      </c>
      <c r="K234">
        <v>71.84</v>
      </c>
      <c r="L234">
        <v>646.55999999999995</v>
      </c>
      <c r="M234">
        <v>0</v>
      </c>
      <c r="N234">
        <v>80</v>
      </c>
      <c r="O234" t="s">
        <v>23</v>
      </c>
    </row>
    <row r="235" spans="1:15" x14ac:dyDescent="0.2">
      <c r="A235" t="s">
        <v>317</v>
      </c>
      <c r="B235" s="1">
        <v>45533</v>
      </c>
      <c r="C235" t="s">
        <v>39</v>
      </c>
      <c r="D235" t="s">
        <v>40</v>
      </c>
      <c r="E235" t="s">
        <v>34</v>
      </c>
      <c r="F235" t="s">
        <v>35</v>
      </c>
      <c r="G235" t="s">
        <v>36</v>
      </c>
      <c r="H235" t="s">
        <v>21</v>
      </c>
      <c r="I235" t="s">
        <v>79</v>
      </c>
      <c r="J235">
        <v>9</v>
      </c>
      <c r="K235">
        <v>419.58</v>
      </c>
      <c r="L235">
        <v>3776.22</v>
      </c>
      <c r="M235">
        <v>0</v>
      </c>
      <c r="N235">
        <v>482.6</v>
      </c>
      <c r="O235" t="s">
        <v>37</v>
      </c>
    </row>
    <row r="236" spans="1:15" x14ac:dyDescent="0.2">
      <c r="A236" t="s">
        <v>318</v>
      </c>
      <c r="B236" s="1">
        <v>45631</v>
      </c>
      <c r="C236" t="s">
        <v>16</v>
      </c>
      <c r="D236" t="s">
        <v>90</v>
      </c>
      <c r="E236" t="s">
        <v>91</v>
      </c>
      <c r="F236" t="s">
        <v>19</v>
      </c>
      <c r="G236" t="s">
        <v>36</v>
      </c>
      <c r="H236" t="s">
        <v>41</v>
      </c>
      <c r="I236" t="s">
        <v>63</v>
      </c>
      <c r="J236">
        <v>10</v>
      </c>
      <c r="K236">
        <v>204.57</v>
      </c>
      <c r="L236">
        <v>2045.7</v>
      </c>
      <c r="M236">
        <v>0.15</v>
      </c>
      <c r="N236">
        <v>182.73</v>
      </c>
      <c r="O236" t="s">
        <v>23</v>
      </c>
    </row>
    <row r="237" spans="1:15" x14ac:dyDescent="0.2">
      <c r="A237" t="s">
        <v>319</v>
      </c>
      <c r="B237" s="1">
        <v>45514</v>
      </c>
      <c r="C237" t="s">
        <v>44</v>
      </c>
      <c r="D237" t="s">
        <v>95</v>
      </c>
      <c r="E237" t="s">
        <v>96</v>
      </c>
      <c r="F237" t="s">
        <v>56</v>
      </c>
      <c r="G237" t="s">
        <v>36</v>
      </c>
      <c r="H237" t="s">
        <v>21</v>
      </c>
      <c r="I237" t="s">
        <v>79</v>
      </c>
      <c r="J237">
        <v>10</v>
      </c>
      <c r="K237">
        <v>879.48</v>
      </c>
      <c r="L237">
        <v>8794.7999999999993</v>
      </c>
      <c r="M237">
        <v>0.15</v>
      </c>
      <c r="N237">
        <v>1065.56</v>
      </c>
      <c r="O237" t="s">
        <v>23</v>
      </c>
    </row>
    <row r="238" spans="1:15" x14ac:dyDescent="0.2">
      <c r="A238" t="s">
        <v>320</v>
      </c>
      <c r="B238" s="1">
        <v>45783</v>
      </c>
      <c r="C238" t="s">
        <v>25</v>
      </c>
      <c r="D238" t="s">
        <v>238</v>
      </c>
      <c r="E238" t="s">
        <v>143</v>
      </c>
      <c r="F238" t="s">
        <v>35</v>
      </c>
      <c r="G238" t="s">
        <v>20</v>
      </c>
      <c r="H238" t="s">
        <v>21</v>
      </c>
      <c r="I238" t="s">
        <v>52</v>
      </c>
      <c r="J238">
        <v>7</v>
      </c>
      <c r="K238">
        <v>613.79999999999995</v>
      </c>
      <c r="L238">
        <v>4296.6000000000004</v>
      </c>
      <c r="M238">
        <v>0.05</v>
      </c>
      <c r="N238">
        <v>542.91999999999996</v>
      </c>
      <c r="O238" t="s">
        <v>23</v>
      </c>
    </row>
    <row r="239" spans="1:15" x14ac:dyDescent="0.2">
      <c r="A239" t="s">
        <v>321</v>
      </c>
      <c r="B239" s="1">
        <v>45587</v>
      </c>
      <c r="C239" t="s">
        <v>39</v>
      </c>
      <c r="D239" t="s">
        <v>100</v>
      </c>
      <c r="E239" t="s">
        <v>101</v>
      </c>
      <c r="F239" t="s">
        <v>56</v>
      </c>
      <c r="G239" t="s">
        <v>20</v>
      </c>
      <c r="H239" t="s">
        <v>41</v>
      </c>
      <c r="I239" t="s">
        <v>86</v>
      </c>
      <c r="J239">
        <v>7</v>
      </c>
      <c r="K239">
        <v>699.25</v>
      </c>
      <c r="L239">
        <v>4894.75</v>
      </c>
      <c r="M239">
        <v>0</v>
      </c>
      <c r="N239">
        <v>479.39</v>
      </c>
      <c r="O239" t="s">
        <v>30</v>
      </c>
    </row>
    <row r="240" spans="1:15" x14ac:dyDescent="0.2">
      <c r="A240" t="s">
        <v>322</v>
      </c>
      <c r="B240" s="1">
        <v>45682</v>
      </c>
      <c r="C240" t="s">
        <v>39</v>
      </c>
      <c r="D240" t="s">
        <v>142</v>
      </c>
      <c r="E240" t="s">
        <v>143</v>
      </c>
      <c r="F240" t="s">
        <v>35</v>
      </c>
      <c r="G240" t="s">
        <v>57</v>
      </c>
      <c r="H240" t="s">
        <v>41</v>
      </c>
      <c r="I240" t="s">
        <v>42</v>
      </c>
      <c r="J240">
        <v>9</v>
      </c>
      <c r="K240">
        <v>122.99</v>
      </c>
      <c r="L240">
        <v>1106.9100000000001</v>
      </c>
      <c r="M240">
        <v>0.1</v>
      </c>
      <c r="N240">
        <v>65.06</v>
      </c>
      <c r="O240" t="s">
        <v>49</v>
      </c>
    </row>
    <row r="241" spans="1:15" x14ac:dyDescent="0.2">
      <c r="A241" t="s">
        <v>323</v>
      </c>
      <c r="B241" s="1">
        <v>45728</v>
      </c>
      <c r="C241" t="s">
        <v>25</v>
      </c>
      <c r="D241" t="s">
        <v>130</v>
      </c>
      <c r="E241" t="s">
        <v>101</v>
      </c>
      <c r="F241" t="s">
        <v>56</v>
      </c>
      <c r="G241" t="s">
        <v>36</v>
      </c>
      <c r="H241" t="s">
        <v>21</v>
      </c>
      <c r="I241" t="s">
        <v>22</v>
      </c>
      <c r="J241">
        <v>8</v>
      </c>
      <c r="K241">
        <v>28.66</v>
      </c>
      <c r="L241">
        <v>229.28</v>
      </c>
      <c r="M241">
        <v>0.15</v>
      </c>
      <c r="N241">
        <v>24.6</v>
      </c>
      <c r="O241" t="s">
        <v>30</v>
      </c>
    </row>
    <row r="242" spans="1:15" x14ac:dyDescent="0.2">
      <c r="A242" t="s">
        <v>324</v>
      </c>
      <c r="B242" s="1">
        <v>45609</v>
      </c>
      <c r="C242" t="s">
        <v>25</v>
      </c>
      <c r="D242" t="s">
        <v>107</v>
      </c>
      <c r="E242" t="s">
        <v>96</v>
      </c>
      <c r="F242" t="s">
        <v>56</v>
      </c>
      <c r="G242" t="s">
        <v>36</v>
      </c>
      <c r="H242" t="s">
        <v>47</v>
      </c>
      <c r="I242" t="s">
        <v>77</v>
      </c>
      <c r="J242">
        <v>6</v>
      </c>
      <c r="K242">
        <v>670.95</v>
      </c>
      <c r="L242">
        <v>4025.7</v>
      </c>
      <c r="M242">
        <v>0.15</v>
      </c>
      <c r="N242">
        <v>502.85</v>
      </c>
      <c r="O242" t="s">
        <v>37</v>
      </c>
    </row>
    <row r="243" spans="1:15" x14ac:dyDescent="0.2">
      <c r="A243" t="s">
        <v>325</v>
      </c>
      <c r="B243" s="1">
        <v>45700</v>
      </c>
      <c r="C243" t="s">
        <v>39</v>
      </c>
      <c r="D243" t="s">
        <v>17</v>
      </c>
      <c r="E243" t="s">
        <v>18</v>
      </c>
      <c r="F243" t="s">
        <v>19</v>
      </c>
      <c r="G243" t="s">
        <v>57</v>
      </c>
      <c r="H243" t="s">
        <v>21</v>
      </c>
      <c r="I243" t="s">
        <v>52</v>
      </c>
      <c r="J243">
        <v>3</v>
      </c>
      <c r="K243">
        <v>172.25</v>
      </c>
      <c r="L243">
        <v>516.75</v>
      </c>
      <c r="M243">
        <v>0</v>
      </c>
      <c r="N243">
        <v>88.57</v>
      </c>
      <c r="O243" t="s">
        <v>23</v>
      </c>
    </row>
    <row r="244" spans="1:15" x14ac:dyDescent="0.2">
      <c r="A244" t="s">
        <v>326</v>
      </c>
      <c r="B244" s="1">
        <v>45494</v>
      </c>
      <c r="C244" t="s">
        <v>39</v>
      </c>
      <c r="D244" t="s">
        <v>26</v>
      </c>
      <c r="E244" t="s">
        <v>27</v>
      </c>
      <c r="F244" t="s">
        <v>28</v>
      </c>
      <c r="G244" t="s">
        <v>36</v>
      </c>
      <c r="H244" t="s">
        <v>41</v>
      </c>
      <c r="I244" t="s">
        <v>42</v>
      </c>
      <c r="J244">
        <v>5</v>
      </c>
      <c r="K244">
        <v>155.19</v>
      </c>
      <c r="L244">
        <v>775.95</v>
      </c>
      <c r="M244">
        <v>0.1</v>
      </c>
      <c r="N244">
        <v>59.77</v>
      </c>
      <c r="O244" t="s">
        <v>30</v>
      </c>
    </row>
    <row r="245" spans="1:15" x14ac:dyDescent="0.2">
      <c r="A245" t="s">
        <v>327</v>
      </c>
      <c r="B245" s="1">
        <v>45731</v>
      </c>
      <c r="C245" t="s">
        <v>44</v>
      </c>
      <c r="D245" t="s">
        <v>54</v>
      </c>
      <c r="E245" t="s">
        <v>55</v>
      </c>
      <c r="F245" t="s">
        <v>56</v>
      </c>
      <c r="G245" t="s">
        <v>20</v>
      </c>
      <c r="H245" t="s">
        <v>21</v>
      </c>
      <c r="I245" t="s">
        <v>79</v>
      </c>
      <c r="J245">
        <v>7</v>
      </c>
      <c r="K245">
        <v>690.97</v>
      </c>
      <c r="L245">
        <v>4836.79</v>
      </c>
      <c r="M245">
        <v>0.15</v>
      </c>
      <c r="N245">
        <v>248.66</v>
      </c>
      <c r="O245" t="s">
        <v>30</v>
      </c>
    </row>
    <row r="246" spans="1:15" x14ac:dyDescent="0.2">
      <c r="A246" t="s">
        <v>328</v>
      </c>
      <c r="B246" s="1">
        <v>45708</v>
      </c>
      <c r="C246" t="s">
        <v>25</v>
      </c>
      <c r="D246" t="s">
        <v>107</v>
      </c>
      <c r="E246" t="s">
        <v>96</v>
      </c>
      <c r="F246" t="s">
        <v>56</v>
      </c>
      <c r="G246" t="s">
        <v>36</v>
      </c>
      <c r="H246" t="s">
        <v>21</v>
      </c>
      <c r="I246" t="s">
        <v>52</v>
      </c>
      <c r="J246">
        <v>2</v>
      </c>
      <c r="K246">
        <v>18.010000000000002</v>
      </c>
      <c r="L246">
        <v>36.020000000000003</v>
      </c>
      <c r="M246">
        <v>0</v>
      </c>
      <c r="N246">
        <v>8.93</v>
      </c>
      <c r="O246" t="s">
        <v>37</v>
      </c>
    </row>
    <row r="247" spans="1:15" x14ac:dyDescent="0.2">
      <c r="A247" t="s">
        <v>329</v>
      </c>
      <c r="B247" s="1">
        <v>45583</v>
      </c>
      <c r="C247" t="s">
        <v>39</v>
      </c>
      <c r="D247" t="s">
        <v>154</v>
      </c>
      <c r="E247" t="s">
        <v>120</v>
      </c>
      <c r="F247" t="s">
        <v>28</v>
      </c>
      <c r="G247" t="s">
        <v>20</v>
      </c>
      <c r="H247" t="s">
        <v>66</v>
      </c>
      <c r="I247" t="s">
        <v>81</v>
      </c>
      <c r="J247">
        <v>1</v>
      </c>
      <c r="K247">
        <v>416.85</v>
      </c>
      <c r="L247">
        <v>416.85</v>
      </c>
      <c r="M247">
        <v>0</v>
      </c>
      <c r="N247">
        <v>88.84</v>
      </c>
      <c r="O247" t="s">
        <v>37</v>
      </c>
    </row>
    <row r="248" spans="1:15" x14ac:dyDescent="0.2">
      <c r="A248" t="s">
        <v>330</v>
      </c>
      <c r="B248" s="1">
        <v>45588</v>
      </c>
      <c r="C248" t="s">
        <v>44</v>
      </c>
      <c r="D248" t="s">
        <v>76</v>
      </c>
      <c r="E248" t="s">
        <v>18</v>
      </c>
      <c r="F248" t="s">
        <v>19</v>
      </c>
      <c r="G248" t="s">
        <v>57</v>
      </c>
      <c r="H248" t="s">
        <v>66</v>
      </c>
      <c r="I248" t="s">
        <v>73</v>
      </c>
      <c r="J248">
        <v>2</v>
      </c>
      <c r="K248">
        <v>233.94</v>
      </c>
      <c r="L248">
        <v>467.88</v>
      </c>
      <c r="M248">
        <v>0</v>
      </c>
      <c r="N248">
        <v>56.76</v>
      </c>
      <c r="O248" t="s">
        <v>49</v>
      </c>
    </row>
    <row r="249" spans="1:15" x14ac:dyDescent="0.2">
      <c r="A249" t="s">
        <v>331</v>
      </c>
      <c r="B249" s="1">
        <v>45550</v>
      </c>
      <c r="C249" t="s">
        <v>32</v>
      </c>
      <c r="D249" t="s">
        <v>124</v>
      </c>
      <c r="E249" t="s">
        <v>55</v>
      </c>
      <c r="F249" t="s">
        <v>56</v>
      </c>
      <c r="G249" t="s">
        <v>57</v>
      </c>
      <c r="H249" t="s">
        <v>41</v>
      </c>
      <c r="I249" t="s">
        <v>63</v>
      </c>
      <c r="J249">
        <v>8</v>
      </c>
      <c r="K249">
        <v>221.66</v>
      </c>
      <c r="L249">
        <v>1773.28</v>
      </c>
      <c r="M249">
        <v>0.1</v>
      </c>
      <c r="N249">
        <v>287.25</v>
      </c>
      <c r="O249" t="s">
        <v>37</v>
      </c>
    </row>
    <row r="250" spans="1:15" x14ac:dyDescent="0.2">
      <c r="A250" t="s">
        <v>332</v>
      </c>
      <c r="B250" s="1">
        <v>45469</v>
      </c>
      <c r="C250" t="s">
        <v>25</v>
      </c>
      <c r="D250" t="s">
        <v>119</v>
      </c>
      <c r="E250" t="s">
        <v>120</v>
      </c>
      <c r="F250" t="s">
        <v>28</v>
      </c>
      <c r="G250" t="s">
        <v>20</v>
      </c>
      <c r="H250" t="s">
        <v>66</v>
      </c>
      <c r="I250" t="s">
        <v>81</v>
      </c>
      <c r="J250">
        <v>2</v>
      </c>
      <c r="K250">
        <v>713.11</v>
      </c>
      <c r="L250">
        <v>1426.22</v>
      </c>
      <c r="M250">
        <v>0.2</v>
      </c>
      <c r="N250">
        <v>96.17</v>
      </c>
      <c r="O250" t="s">
        <v>49</v>
      </c>
    </row>
    <row r="251" spans="1:15" x14ac:dyDescent="0.2">
      <c r="A251" t="s">
        <v>333</v>
      </c>
      <c r="B251" s="1">
        <v>45685</v>
      </c>
      <c r="C251" t="s">
        <v>25</v>
      </c>
      <c r="D251" t="s">
        <v>54</v>
      </c>
      <c r="E251" t="s">
        <v>55</v>
      </c>
      <c r="F251" t="s">
        <v>56</v>
      </c>
      <c r="G251" t="s">
        <v>36</v>
      </c>
      <c r="H251" t="s">
        <v>21</v>
      </c>
      <c r="I251" t="s">
        <v>22</v>
      </c>
      <c r="J251">
        <v>8</v>
      </c>
      <c r="K251">
        <v>69.38</v>
      </c>
      <c r="L251">
        <v>555.04</v>
      </c>
      <c r="M251">
        <v>0</v>
      </c>
      <c r="N251">
        <v>95.3</v>
      </c>
      <c r="O251" t="s">
        <v>23</v>
      </c>
    </row>
    <row r="252" spans="1:15" x14ac:dyDescent="0.2">
      <c r="A252" t="s">
        <v>334</v>
      </c>
      <c r="B252" s="1">
        <v>45567</v>
      </c>
      <c r="C252" t="s">
        <v>39</v>
      </c>
      <c r="D252" t="s">
        <v>76</v>
      </c>
      <c r="E252" t="s">
        <v>18</v>
      </c>
      <c r="F252" t="s">
        <v>19</v>
      </c>
      <c r="G252" t="s">
        <v>36</v>
      </c>
      <c r="H252" t="s">
        <v>47</v>
      </c>
      <c r="I252" t="s">
        <v>58</v>
      </c>
      <c r="J252">
        <v>5</v>
      </c>
      <c r="K252">
        <v>237.92</v>
      </c>
      <c r="L252">
        <v>1189.5999999999999</v>
      </c>
      <c r="M252">
        <v>0.15</v>
      </c>
      <c r="N252">
        <v>203.7</v>
      </c>
      <c r="O252" t="s">
        <v>30</v>
      </c>
    </row>
    <row r="253" spans="1:15" x14ac:dyDescent="0.2">
      <c r="A253" t="s">
        <v>335</v>
      </c>
      <c r="B253" s="1">
        <v>45727</v>
      </c>
      <c r="C253" t="s">
        <v>25</v>
      </c>
      <c r="D253" t="s">
        <v>90</v>
      </c>
      <c r="E253" t="s">
        <v>91</v>
      </c>
      <c r="F253" t="s">
        <v>19</v>
      </c>
      <c r="G253" t="s">
        <v>36</v>
      </c>
      <c r="H253" t="s">
        <v>21</v>
      </c>
      <c r="I253" t="s">
        <v>52</v>
      </c>
      <c r="J253">
        <v>7</v>
      </c>
      <c r="K253">
        <v>205.98</v>
      </c>
      <c r="L253">
        <v>1441.86</v>
      </c>
      <c r="M253">
        <v>0</v>
      </c>
      <c r="N253">
        <v>140.74</v>
      </c>
      <c r="O253" t="s">
        <v>37</v>
      </c>
    </row>
    <row r="254" spans="1:15" x14ac:dyDescent="0.2">
      <c r="A254" t="s">
        <v>336</v>
      </c>
      <c r="B254" s="1">
        <v>45763</v>
      </c>
      <c r="C254" t="s">
        <v>25</v>
      </c>
      <c r="D254" t="s">
        <v>51</v>
      </c>
      <c r="E254" t="s">
        <v>46</v>
      </c>
      <c r="F254" t="s">
        <v>35</v>
      </c>
      <c r="G254" t="s">
        <v>20</v>
      </c>
      <c r="H254" t="s">
        <v>47</v>
      </c>
      <c r="I254" t="s">
        <v>48</v>
      </c>
      <c r="J254">
        <v>9</v>
      </c>
      <c r="K254">
        <v>792.2</v>
      </c>
      <c r="L254">
        <v>7129.8</v>
      </c>
      <c r="M254">
        <v>0.15</v>
      </c>
      <c r="N254">
        <v>1088.49</v>
      </c>
      <c r="O254" t="s">
        <v>30</v>
      </c>
    </row>
    <row r="255" spans="1:15" x14ac:dyDescent="0.2">
      <c r="A255" t="s">
        <v>337</v>
      </c>
      <c r="B255" s="1">
        <v>45511</v>
      </c>
      <c r="C255" t="s">
        <v>25</v>
      </c>
      <c r="D255" t="s">
        <v>17</v>
      </c>
      <c r="E255" t="s">
        <v>18</v>
      </c>
      <c r="F255" t="s">
        <v>19</v>
      </c>
      <c r="G255" t="s">
        <v>36</v>
      </c>
      <c r="H255" t="s">
        <v>66</v>
      </c>
      <c r="I255" t="s">
        <v>81</v>
      </c>
      <c r="J255">
        <v>9</v>
      </c>
      <c r="K255">
        <v>55.97</v>
      </c>
      <c r="L255">
        <v>503.73</v>
      </c>
      <c r="M255">
        <v>0.05</v>
      </c>
      <c r="N255">
        <v>100.63</v>
      </c>
      <c r="O255" t="s">
        <v>37</v>
      </c>
    </row>
    <row r="256" spans="1:15" x14ac:dyDescent="0.2">
      <c r="A256" t="s">
        <v>338</v>
      </c>
      <c r="B256" s="1">
        <v>45615</v>
      </c>
      <c r="C256" t="s">
        <v>39</v>
      </c>
      <c r="D256" t="s">
        <v>124</v>
      </c>
      <c r="E256" t="s">
        <v>55</v>
      </c>
      <c r="F256" t="s">
        <v>56</v>
      </c>
      <c r="G256" t="s">
        <v>57</v>
      </c>
      <c r="H256" t="s">
        <v>41</v>
      </c>
      <c r="I256" t="s">
        <v>86</v>
      </c>
      <c r="J256">
        <v>2</v>
      </c>
      <c r="K256">
        <v>870.13</v>
      </c>
      <c r="L256">
        <v>1740.26</v>
      </c>
      <c r="M256">
        <v>0</v>
      </c>
      <c r="N256">
        <v>418.94</v>
      </c>
      <c r="O256" t="s">
        <v>30</v>
      </c>
    </row>
    <row r="257" spans="1:15" x14ac:dyDescent="0.2">
      <c r="A257" t="s">
        <v>339</v>
      </c>
      <c r="B257" s="1">
        <v>45583</v>
      </c>
      <c r="C257" t="s">
        <v>39</v>
      </c>
      <c r="D257" t="s">
        <v>60</v>
      </c>
      <c r="E257" t="s">
        <v>61</v>
      </c>
      <c r="F257" t="s">
        <v>19</v>
      </c>
      <c r="G257" t="s">
        <v>20</v>
      </c>
      <c r="H257" t="s">
        <v>21</v>
      </c>
      <c r="I257" t="s">
        <v>79</v>
      </c>
      <c r="J257">
        <v>4</v>
      </c>
      <c r="K257">
        <v>508.41</v>
      </c>
      <c r="L257">
        <v>2033.64</v>
      </c>
      <c r="M257">
        <v>0.15</v>
      </c>
      <c r="N257">
        <v>337.07</v>
      </c>
      <c r="O257" t="s">
        <v>37</v>
      </c>
    </row>
    <row r="258" spans="1:15" x14ac:dyDescent="0.2">
      <c r="A258" t="s">
        <v>340</v>
      </c>
      <c r="B258" s="1">
        <v>45510</v>
      </c>
      <c r="C258" t="s">
        <v>39</v>
      </c>
      <c r="D258" t="s">
        <v>93</v>
      </c>
      <c r="E258" t="s">
        <v>61</v>
      </c>
      <c r="F258" t="s">
        <v>19</v>
      </c>
      <c r="G258" t="s">
        <v>20</v>
      </c>
      <c r="H258" t="s">
        <v>66</v>
      </c>
      <c r="I258" t="s">
        <v>81</v>
      </c>
      <c r="J258">
        <v>5</v>
      </c>
      <c r="K258">
        <v>286.77999999999997</v>
      </c>
      <c r="L258">
        <v>1433.9</v>
      </c>
      <c r="M258">
        <v>0.15</v>
      </c>
      <c r="N258">
        <v>296.83999999999997</v>
      </c>
      <c r="O258" t="s">
        <v>37</v>
      </c>
    </row>
    <row r="259" spans="1:15" x14ac:dyDescent="0.2">
      <c r="A259" t="s">
        <v>341</v>
      </c>
      <c r="B259" s="1">
        <v>45739</v>
      </c>
      <c r="C259" t="s">
        <v>16</v>
      </c>
      <c r="D259" t="s">
        <v>95</v>
      </c>
      <c r="E259" t="s">
        <v>96</v>
      </c>
      <c r="F259" t="s">
        <v>56</v>
      </c>
      <c r="G259" t="s">
        <v>57</v>
      </c>
      <c r="H259" t="s">
        <v>41</v>
      </c>
      <c r="I259" t="s">
        <v>42</v>
      </c>
      <c r="J259">
        <v>8</v>
      </c>
      <c r="K259">
        <v>442.49</v>
      </c>
      <c r="L259">
        <v>3539.92</v>
      </c>
      <c r="M259">
        <v>0.2</v>
      </c>
      <c r="N259">
        <v>486.75</v>
      </c>
      <c r="O259" t="s">
        <v>37</v>
      </c>
    </row>
    <row r="260" spans="1:15" x14ac:dyDescent="0.2">
      <c r="A260" t="s">
        <v>342</v>
      </c>
      <c r="B260" s="1">
        <v>45633</v>
      </c>
      <c r="C260" t="s">
        <v>16</v>
      </c>
      <c r="D260" t="s">
        <v>95</v>
      </c>
      <c r="E260" t="s">
        <v>96</v>
      </c>
      <c r="F260" t="s">
        <v>56</v>
      </c>
      <c r="G260" t="s">
        <v>36</v>
      </c>
      <c r="H260" t="s">
        <v>47</v>
      </c>
      <c r="I260" t="s">
        <v>77</v>
      </c>
      <c r="J260">
        <v>10</v>
      </c>
      <c r="K260">
        <v>538.12</v>
      </c>
      <c r="L260">
        <v>5381.2</v>
      </c>
      <c r="M260">
        <v>0.2</v>
      </c>
      <c r="N260">
        <v>840.89</v>
      </c>
      <c r="O260" t="s">
        <v>23</v>
      </c>
    </row>
    <row r="261" spans="1:15" x14ac:dyDescent="0.2">
      <c r="A261" t="s">
        <v>343</v>
      </c>
      <c r="B261" s="1">
        <v>45497</v>
      </c>
      <c r="C261" t="s">
        <v>25</v>
      </c>
      <c r="D261" t="s">
        <v>100</v>
      </c>
      <c r="E261" t="s">
        <v>101</v>
      </c>
      <c r="F261" t="s">
        <v>56</v>
      </c>
      <c r="G261" t="s">
        <v>57</v>
      </c>
      <c r="H261" t="s">
        <v>66</v>
      </c>
      <c r="I261" t="s">
        <v>67</v>
      </c>
      <c r="J261">
        <v>2</v>
      </c>
      <c r="K261">
        <v>334.57</v>
      </c>
      <c r="L261">
        <v>669.14</v>
      </c>
      <c r="M261">
        <v>0.15</v>
      </c>
      <c r="N261">
        <v>50.7</v>
      </c>
      <c r="O261" t="s">
        <v>49</v>
      </c>
    </row>
    <row r="262" spans="1:15" x14ac:dyDescent="0.2">
      <c r="A262" t="s">
        <v>344</v>
      </c>
      <c r="B262" s="1">
        <v>45759</v>
      </c>
      <c r="C262" t="s">
        <v>16</v>
      </c>
      <c r="D262" t="s">
        <v>26</v>
      </c>
      <c r="E262" t="s">
        <v>27</v>
      </c>
      <c r="F262" t="s">
        <v>28</v>
      </c>
      <c r="G262" t="s">
        <v>57</v>
      </c>
      <c r="H262" t="s">
        <v>41</v>
      </c>
      <c r="I262" t="s">
        <v>63</v>
      </c>
      <c r="J262">
        <v>7</v>
      </c>
      <c r="K262">
        <v>970.55</v>
      </c>
      <c r="L262">
        <v>6793.85</v>
      </c>
      <c r="M262">
        <v>0.1</v>
      </c>
      <c r="N262">
        <v>775.36</v>
      </c>
      <c r="O262" t="s">
        <v>49</v>
      </c>
    </row>
    <row r="263" spans="1:15" x14ac:dyDescent="0.2">
      <c r="A263" t="s">
        <v>345</v>
      </c>
      <c r="B263" s="1">
        <v>45723</v>
      </c>
      <c r="C263" t="s">
        <v>32</v>
      </c>
      <c r="D263" t="s">
        <v>104</v>
      </c>
      <c r="E263" t="s">
        <v>72</v>
      </c>
      <c r="F263" t="s">
        <v>28</v>
      </c>
      <c r="G263" t="s">
        <v>57</v>
      </c>
      <c r="H263" t="s">
        <v>66</v>
      </c>
      <c r="I263" t="s">
        <v>73</v>
      </c>
      <c r="J263">
        <v>4</v>
      </c>
      <c r="K263">
        <v>763.42</v>
      </c>
      <c r="L263">
        <v>3053.68</v>
      </c>
      <c r="M263">
        <v>0.1</v>
      </c>
      <c r="N263">
        <v>561.35</v>
      </c>
      <c r="O263" t="s">
        <v>37</v>
      </c>
    </row>
    <row r="264" spans="1:15" x14ac:dyDescent="0.2">
      <c r="A264" t="s">
        <v>346</v>
      </c>
      <c r="B264" s="1">
        <v>45567</v>
      </c>
      <c r="C264" t="s">
        <v>32</v>
      </c>
      <c r="D264" t="s">
        <v>124</v>
      </c>
      <c r="E264" t="s">
        <v>55</v>
      </c>
      <c r="F264" t="s">
        <v>56</v>
      </c>
      <c r="G264" t="s">
        <v>20</v>
      </c>
      <c r="H264" t="s">
        <v>66</v>
      </c>
      <c r="I264" t="s">
        <v>73</v>
      </c>
      <c r="J264">
        <v>7</v>
      </c>
      <c r="K264">
        <v>736.19</v>
      </c>
      <c r="L264">
        <v>5153.33</v>
      </c>
      <c r="M264">
        <v>0.05</v>
      </c>
      <c r="N264">
        <v>712.54</v>
      </c>
      <c r="O264" t="s">
        <v>49</v>
      </c>
    </row>
    <row r="265" spans="1:15" x14ac:dyDescent="0.2">
      <c r="A265" t="s">
        <v>347</v>
      </c>
      <c r="B265" s="1">
        <v>45545</v>
      </c>
      <c r="C265" t="s">
        <v>25</v>
      </c>
      <c r="D265" t="s">
        <v>69</v>
      </c>
      <c r="E265" t="s">
        <v>27</v>
      </c>
      <c r="F265" t="s">
        <v>28</v>
      </c>
      <c r="G265" t="s">
        <v>20</v>
      </c>
      <c r="H265" t="s">
        <v>66</v>
      </c>
      <c r="I265" t="s">
        <v>73</v>
      </c>
      <c r="J265">
        <v>3</v>
      </c>
      <c r="K265">
        <v>255.78</v>
      </c>
      <c r="L265">
        <v>767.34</v>
      </c>
      <c r="M265">
        <v>0.2</v>
      </c>
      <c r="N265">
        <v>101.7</v>
      </c>
      <c r="O265" t="s">
        <v>49</v>
      </c>
    </row>
    <row r="266" spans="1:15" x14ac:dyDescent="0.2">
      <c r="A266" t="s">
        <v>348</v>
      </c>
      <c r="B266" s="1">
        <v>45752</v>
      </c>
      <c r="C266" t="s">
        <v>16</v>
      </c>
      <c r="D266" t="s">
        <v>119</v>
      </c>
      <c r="E266" t="s">
        <v>120</v>
      </c>
      <c r="F266" t="s">
        <v>28</v>
      </c>
      <c r="G266" t="s">
        <v>20</v>
      </c>
      <c r="H266" t="s">
        <v>41</v>
      </c>
      <c r="I266" t="s">
        <v>63</v>
      </c>
      <c r="J266">
        <v>9</v>
      </c>
      <c r="K266">
        <v>910.13</v>
      </c>
      <c r="L266">
        <v>8191.17</v>
      </c>
      <c r="M266">
        <v>0.15</v>
      </c>
      <c r="N266">
        <v>579.03</v>
      </c>
      <c r="O266" t="s">
        <v>30</v>
      </c>
    </row>
    <row r="267" spans="1:15" x14ac:dyDescent="0.2">
      <c r="A267" t="s">
        <v>349</v>
      </c>
      <c r="B267" s="1">
        <v>45491</v>
      </c>
      <c r="C267" t="s">
        <v>44</v>
      </c>
      <c r="D267" t="s">
        <v>238</v>
      </c>
      <c r="E267" t="s">
        <v>143</v>
      </c>
      <c r="F267" t="s">
        <v>35</v>
      </c>
      <c r="G267" t="s">
        <v>57</v>
      </c>
      <c r="H267" t="s">
        <v>47</v>
      </c>
      <c r="I267" t="s">
        <v>58</v>
      </c>
      <c r="J267">
        <v>2</v>
      </c>
      <c r="K267">
        <v>111.06</v>
      </c>
      <c r="L267">
        <v>222.12</v>
      </c>
      <c r="M267">
        <v>0.2</v>
      </c>
      <c r="N267">
        <v>36.49</v>
      </c>
      <c r="O267" t="s">
        <v>49</v>
      </c>
    </row>
    <row r="268" spans="1:15" x14ac:dyDescent="0.2">
      <c r="A268" t="s">
        <v>350</v>
      </c>
      <c r="B268" s="1">
        <v>45615</v>
      </c>
      <c r="C268" t="s">
        <v>16</v>
      </c>
      <c r="D268" t="s">
        <v>142</v>
      </c>
      <c r="E268" t="s">
        <v>143</v>
      </c>
      <c r="F268" t="s">
        <v>35</v>
      </c>
      <c r="G268" t="s">
        <v>20</v>
      </c>
      <c r="H268" t="s">
        <v>66</v>
      </c>
      <c r="I268" t="s">
        <v>81</v>
      </c>
      <c r="J268">
        <v>1</v>
      </c>
      <c r="K268">
        <v>987.05</v>
      </c>
      <c r="L268">
        <v>987.05</v>
      </c>
      <c r="M268">
        <v>0.15</v>
      </c>
      <c r="N268">
        <v>42.21</v>
      </c>
      <c r="O268" t="s">
        <v>23</v>
      </c>
    </row>
    <row r="269" spans="1:15" x14ac:dyDescent="0.2">
      <c r="A269" t="s">
        <v>351</v>
      </c>
      <c r="B269" s="1">
        <v>45688</v>
      </c>
      <c r="C269" t="s">
        <v>16</v>
      </c>
      <c r="D269" t="s">
        <v>124</v>
      </c>
      <c r="E269" t="s">
        <v>55</v>
      </c>
      <c r="F269" t="s">
        <v>56</v>
      </c>
      <c r="G269" t="s">
        <v>36</v>
      </c>
      <c r="H269" t="s">
        <v>21</v>
      </c>
      <c r="I269" t="s">
        <v>29</v>
      </c>
      <c r="J269">
        <v>6</v>
      </c>
      <c r="K269">
        <v>188.03</v>
      </c>
      <c r="L269">
        <v>1128.18</v>
      </c>
      <c r="M269">
        <v>0.05</v>
      </c>
      <c r="N269">
        <v>96.04</v>
      </c>
      <c r="O269" t="s">
        <v>37</v>
      </c>
    </row>
    <row r="270" spans="1:15" x14ac:dyDescent="0.2">
      <c r="A270" t="s">
        <v>352</v>
      </c>
      <c r="B270" s="1">
        <v>45711</v>
      </c>
      <c r="C270" t="s">
        <v>39</v>
      </c>
      <c r="D270" t="s">
        <v>104</v>
      </c>
      <c r="E270" t="s">
        <v>72</v>
      </c>
      <c r="F270" t="s">
        <v>28</v>
      </c>
      <c r="G270" t="s">
        <v>36</v>
      </c>
      <c r="H270" t="s">
        <v>41</v>
      </c>
      <c r="I270" t="s">
        <v>86</v>
      </c>
      <c r="J270">
        <v>3</v>
      </c>
      <c r="K270">
        <v>809.56</v>
      </c>
      <c r="L270">
        <v>2428.6799999999998</v>
      </c>
      <c r="M270">
        <v>0.05</v>
      </c>
      <c r="N270">
        <v>235.04</v>
      </c>
      <c r="O270" t="s">
        <v>30</v>
      </c>
    </row>
    <row r="271" spans="1:15" x14ac:dyDescent="0.2">
      <c r="A271" s="2" t="s">
        <v>353</v>
      </c>
      <c r="B271" s="1">
        <v>45763</v>
      </c>
      <c r="C271" t="s">
        <v>32</v>
      </c>
      <c r="D271" t="s">
        <v>69</v>
      </c>
      <c r="E271" t="s">
        <v>27</v>
      </c>
      <c r="F271" t="s">
        <v>28</v>
      </c>
      <c r="G271" t="s">
        <v>57</v>
      </c>
      <c r="H271" t="s">
        <v>47</v>
      </c>
      <c r="I271" t="s">
        <v>58</v>
      </c>
      <c r="J271">
        <v>7</v>
      </c>
      <c r="K271">
        <v>126.43</v>
      </c>
      <c r="L271">
        <v>885.01</v>
      </c>
      <c r="M271">
        <v>0</v>
      </c>
      <c r="N271">
        <v>104.81</v>
      </c>
      <c r="O271" t="s">
        <v>30</v>
      </c>
    </row>
    <row r="272" spans="1:15" x14ac:dyDescent="0.2">
      <c r="A272" t="s">
        <v>354</v>
      </c>
      <c r="B272" s="1">
        <v>45710</v>
      </c>
      <c r="C272" t="s">
        <v>32</v>
      </c>
      <c r="D272" t="s">
        <v>54</v>
      </c>
      <c r="E272" t="s">
        <v>55</v>
      </c>
      <c r="F272" t="s">
        <v>56</v>
      </c>
      <c r="G272" t="s">
        <v>36</v>
      </c>
      <c r="H272" t="s">
        <v>41</v>
      </c>
      <c r="I272" t="s">
        <v>42</v>
      </c>
      <c r="J272">
        <v>1</v>
      </c>
      <c r="K272">
        <v>665.99</v>
      </c>
      <c r="L272">
        <v>665.99</v>
      </c>
      <c r="M272">
        <v>0</v>
      </c>
      <c r="N272">
        <v>46.2</v>
      </c>
      <c r="O272" t="s">
        <v>23</v>
      </c>
    </row>
    <row r="273" spans="1:15" x14ac:dyDescent="0.2">
      <c r="A273" t="s">
        <v>355</v>
      </c>
      <c r="B273" s="1">
        <v>45535</v>
      </c>
      <c r="C273" t="s">
        <v>25</v>
      </c>
      <c r="D273" t="s">
        <v>40</v>
      </c>
      <c r="E273" t="s">
        <v>34</v>
      </c>
      <c r="F273" t="s">
        <v>35</v>
      </c>
      <c r="G273" t="s">
        <v>20</v>
      </c>
      <c r="H273" t="s">
        <v>21</v>
      </c>
      <c r="I273" t="s">
        <v>29</v>
      </c>
      <c r="J273">
        <v>6</v>
      </c>
      <c r="K273">
        <v>372.04</v>
      </c>
      <c r="L273">
        <v>2232.2399999999998</v>
      </c>
      <c r="M273">
        <v>0.1</v>
      </c>
      <c r="N273">
        <v>502.03</v>
      </c>
      <c r="O273" t="s">
        <v>49</v>
      </c>
    </row>
    <row r="274" spans="1:15" x14ac:dyDescent="0.2">
      <c r="A274" t="s">
        <v>356</v>
      </c>
      <c r="B274" s="1">
        <v>45735</v>
      </c>
      <c r="C274" t="s">
        <v>25</v>
      </c>
      <c r="D274" t="s">
        <v>130</v>
      </c>
      <c r="E274" t="s">
        <v>101</v>
      </c>
      <c r="F274" t="s">
        <v>56</v>
      </c>
      <c r="G274" t="s">
        <v>57</v>
      </c>
      <c r="H274" t="s">
        <v>41</v>
      </c>
      <c r="I274" t="s">
        <v>42</v>
      </c>
      <c r="J274">
        <v>1</v>
      </c>
      <c r="K274">
        <v>458.01</v>
      </c>
      <c r="L274">
        <v>458.01</v>
      </c>
      <c r="M274">
        <v>0.15</v>
      </c>
      <c r="N274">
        <v>75.930000000000007</v>
      </c>
      <c r="O274" t="s">
        <v>30</v>
      </c>
    </row>
    <row r="275" spans="1:15" x14ac:dyDescent="0.2">
      <c r="A275" t="s">
        <v>357</v>
      </c>
      <c r="B275" s="1">
        <v>45463</v>
      </c>
      <c r="C275" t="s">
        <v>39</v>
      </c>
      <c r="D275" t="s">
        <v>26</v>
      </c>
      <c r="E275" t="s">
        <v>27</v>
      </c>
      <c r="F275" t="s">
        <v>28</v>
      </c>
      <c r="G275" t="s">
        <v>57</v>
      </c>
      <c r="H275" t="s">
        <v>41</v>
      </c>
      <c r="I275" t="s">
        <v>63</v>
      </c>
      <c r="J275">
        <v>10</v>
      </c>
      <c r="K275">
        <v>686.81</v>
      </c>
      <c r="L275">
        <v>6868.1</v>
      </c>
      <c r="M275">
        <v>0.15</v>
      </c>
      <c r="N275">
        <v>893.1</v>
      </c>
      <c r="O275" t="s">
        <v>49</v>
      </c>
    </row>
    <row r="276" spans="1:15" x14ac:dyDescent="0.2">
      <c r="A276" t="s">
        <v>358</v>
      </c>
      <c r="B276" s="1">
        <v>45610</v>
      </c>
      <c r="C276" t="s">
        <v>32</v>
      </c>
      <c r="D276" t="s">
        <v>51</v>
      </c>
      <c r="E276" t="s">
        <v>46</v>
      </c>
      <c r="F276" t="s">
        <v>35</v>
      </c>
      <c r="G276" t="s">
        <v>20</v>
      </c>
      <c r="H276" t="s">
        <v>41</v>
      </c>
      <c r="I276" t="s">
        <v>63</v>
      </c>
      <c r="J276">
        <v>8</v>
      </c>
      <c r="K276">
        <v>235.09</v>
      </c>
      <c r="L276">
        <v>1880.72</v>
      </c>
      <c r="M276">
        <v>0.15</v>
      </c>
      <c r="N276">
        <v>207.87</v>
      </c>
      <c r="O276" t="s">
        <v>23</v>
      </c>
    </row>
    <row r="277" spans="1:15" x14ac:dyDescent="0.2">
      <c r="A277" t="s">
        <v>359</v>
      </c>
      <c r="B277" s="1">
        <v>45810</v>
      </c>
      <c r="C277" t="s">
        <v>16</v>
      </c>
      <c r="D277" t="s">
        <v>130</v>
      </c>
      <c r="E277" t="s">
        <v>101</v>
      </c>
      <c r="F277" t="s">
        <v>56</v>
      </c>
      <c r="G277" t="s">
        <v>57</v>
      </c>
      <c r="H277" t="s">
        <v>21</v>
      </c>
      <c r="I277" t="s">
        <v>22</v>
      </c>
      <c r="J277">
        <v>3</v>
      </c>
      <c r="K277">
        <v>870.12</v>
      </c>
      <c r="L277">
        <v>2610.36</v>
      </c>
      <c r="M277">
        <v>0.2</v>
      </c>
      <c r="N277">
        <v>432.22</v>
      </c>
      <c r="O277" t="s">
        <v>37</v>
      </c>
    </row>
    <row r="278" spans="1:15" x14ac:dyDescent="0.2">
      <c r="A278" t="s">
        <v>360</v>
      </c>
      <c r="B278" s="1">
        <v>45753</v>
      </c>
      <c r="C278" t="s">
        <v>44</v>
      </c>
      <c r="D278" t="s">
        <v>95</v>
      </c>
      <c r="E278" t="s">
        <v>96</v>
      </c>
      <c r="F278" t="s">
        <v>56</v>
      </c>
      <c r="G278" t="s">
        <v>57</v>
      </c>
      <c r="H278" t="s">
        <v>21</v>
      </c>
      <c r="I278" t="s">
        <v>79</v>
      </c>
      <c r="J278">
        <v>8</v>
      </c>
      <c r="K278">
        <v>955.14</v>
      </c>
      <c r="L278">
        <v>7641.12</v>
      </c>
      <c r="M278">
        <v>0.15</v>
      </c>
      <c r="N278">
        <v>1185.51</v>
      </c>
      <c r="O278" t="s">
        <v>37</v>
      </c>
    </row>
    <row r="279" spans="1:15" x14ac:dyDescent="0.2">
      <c r="A279" t="s">
        <v>361</v>
      </c>
      <c r="B279" s="1">
        <v>45567</v>
      </c>
      <c r="C279" t="s">
        <v>32</v>
      </c>
      <c r="D279" t="s">
        <v>60</v>
      </c>
      <c r="E279" t="s">
        <v>61</v>
      </c>
      <c r="F279" t="s">
        <v>19</v>
      </c>
      <c r="G279" t="s">
        <v>57</v>
      </c>
      <c r="H279" t="s">
        <v>41</v>
      </c>
      <c r="I279" t="s">
        <v>63</v>
      </c>
      <c r="J279">
        <v>3</v>
      </c>
      <c r="K279">
        <v>929.15</v>
      </c>
      <c r="L279">
        <v>2787.45</v>
      </c>
      <c r="M279">
        <v>0.1</v>
      </c>
      <c r="N279">
        <v>578.33000000000004</v>
      </c>
      <c r="O279" t="s">
        <v>30</v>
      </c>
    </row>
    <row r="280" spans="1:15" x14ac:dyDescent="0.2">
      <c r="A280" t="s">
        <v>362</v>
      </c>
      <c r="B280" s="1">
        <v>45815</v>
      </c>
      <c r="C280" t="s">
        <v>32</v>
      </c>
      <c r="D280" t="s">
        <v>238</v>
      </c>
      <c r="E280" t="s">
        <v>143</v>
      </c>
      <c r="F280" t="s">
        <v>35</v>
      </c>
      <c r="G280" t="s">
        <v>20</v>
      </c>
      <c r="H280" t="s">
        <v>66</v>
      </c>
      <c r="I280" t="s">
        <v>81</v>
      </c>
      <c r="J280">
        <v>9</v>
      </c>
      <c r="K280">
        <v>634.28</v>
      </c>
      <c r="L280">
        <v>5708.52</v>
      </c>
      <c r="M280">
        <v>0.15</v>
      </c>
      <c r="N280">
        <v>330.38</v>
      </c>
      <c r="O280" t="s">
        <v>37</v>
      </c>
    </row>
    <row r="281" spans="1:15" x14ac:dyDescent="0.2">
      <c r="A281" t="s">
        <v>363</v>
      </c>
      <c r="B281" s="1">
        <v>45705</v>
      </c>
      <c r="C281" t="s">
        <v>16</v>
      </c>
      <c r="D281" t="s">
        <v>26</v>
      </c>
      <c r="E281" t="s">
        <v>27</v>
      </c>
      <c r="F281" t="s">
        <v>28</v>
      </c>
      <c r="G281" t="s">
        <v>20</v>
      </c>
      <c r="H281" t="s">
        <v>66</v>
      </c>
      <c r="I281" t="s">
        <v>81</v>
      </c>
      <c r="J281">
        <v>9</v>
      </c>
      <c r="K281">
        <v>966.32</v>
      </c>
      <c r="L281">
        <v>8696.8799999999992</v>
      </c>
      <c r="M281">
        <v>0.15</v>
      </c>
      <c r="N281">
        <v>1564.88</v>
      </c>
      <c r="O281" t="s">
        <v>49</v>
      </c>
    </row>
    <row r="282" spans="1:15" x14ac:dyDescent="0.2">
      <c r="A282" t="s">
        <v>364</v>
      </c>
      <c r="B282" s="1">
        <v>45474</v>
      </c>
      <c r="C282" t="s">
        <v>32</v>
      </c>
      <c r="D282" t="s">
        <v>104</v>
      </c>
      <c r="E282" t="s">
        <v>72</v>
      </c>
      <c r="F282" t="s">
        <v>28</v>
      </c>
      <c r="G282" t="s">
        <v>36</v>
      </c>
      <c r="H282" t="s">
        <v>41</v>
      </c>
      <c r="I282" t="s">
        <v>42</v>
      </c>
      <c r="J282">
        <v>10</v>
      </c>
      <c r="K282">
        <v>937.34</v>
      </c>
      <c r="L282">
        <v>9373.4</v>
      </c>
      <c r="M282">
        <v>0</v>
      </c>
      <c r="N282">
        <v>1542.56</v>
      </c>
      <c r="O282" t="s">
        <v>23</v>
      </c>
    </row>
    <row r="283" spans="1:15" x14ac:dyDescent="0.2">
      <c r="A283" t="s">
        <v>365</v>
      </c>
      <c r="B283" s="1">
        <v>45526</v>
      </c>
      <c r="C283" t="s">
        <v>25</v>
      </c>
      <c r="D283" t="s">
        <v>54</v>
      </c>
      <c r="E283" t="s">
        <v>55</v>
      </c>
      <c r="F283" t="s">
        <v>56</v>
      </c>
      <c r="G283" t="s">
        <v>36</v>
      </c>
      <c r="H283" t="s">
        <v>41</v>
      </c>
      <c r="I283" t="s">
        <v>42</v>
      </c>
      <c r="J283">
        <v>7</v>
      </c>
      <c r="K283">
        <v>979.89</v>
      </c>
      <c r="L283">
        <v>6859.23</v>
      </c>
      <c r="M283">
        <v>0.1</v>
      </c>
      <c r="N283">
        <v>1260.94</v>
      </c>
      <c r="O283" t="s">
        <v>37</v>
      </c>
    </row>
    <row r="284" spans="1:15" x14ac:dyDescent="0.2">
      <c r="A284" t="s">
        <v>366</v>
      </c>
      <c r="B284" s="1">
        <v>45817</v>
      </c>
      <c r="C284" t="s">
        <v>32</v>
      </c>
      <c r="D284" t="s">
        <v>93</v>
      </c>
      <c r="E284" t="s">
        <v>61</v>
      </c>
      <c r="F284" t="s">
        <v>19</v>
      </c>
      <c r="G284" t="s">
        <v>20</v>
      </c>
      <c r="H284" t="s">
        <v>41</v>
      </c>
      <c r="I284" t="s">
        <v>86</v>
      </c>
      <c r="J284">
        <v>6</v>
      </c>
      <c r="K284">
        <v>146.41</v>
      </c>
      <c r="L284">
        <v>878.46</v>
      </c>
      <c r="M284">
        <v>0.1</v>
      </c>
      <c r="N284">
        <v>171.91</v>
      </c>
      <c r="O284" t="s">
        <v>49</v>
      </c>
    </row>
    <row r="285" spans="1:15" x14ac:dyDescent="0.2">
      <c r="A285" t="s">
        <v>367</v>
      </c>
      <c r="B285" s="1">
        <v>45725</v>
      </c>
      <c r="C285" t="s">
        <v>39</v>
      </c>
      <c r="D285" t="s">
        <v>95</v>
      </c>
      <c r="E285" t="s">
        <v>96</v>
      </c>
      <c r="F285" t="s">
        <v>56</v>
      </c>
      <c r="G285" t="s">
        <v>20</v>
      </c>
      <c r="H285" t="s">
        <v>47</v>
      </c>
      <c r="I285" t="s">
        <v>48</v>
      </c>
      <c r="J285">
        <v>10</v>
      </c>
      <c r="K285">
        <v>321.5</v>
      </c>
      <c r="L285">
        <v>3215</v>
      </c>
      <c r="M285">
        <v>0.2</v>
      </c>
      <c r="N285">
        <v>638.03</v>
      </c>
      <c r="O285" t="s">
        <v>30</v>
      </c>
    </row>
    <row r="286" spans="1:15" x14ac:dyDescent="0.2">
      <c r="A286" t="s">
        <v>368</v>
      </c>
      <c r="B286" s="1">
        <v>45810</v>
      </c>
      <c r="C286" t="s">
        <v>16</v>
      </c>
      <c r="D286" t="s">
        <v>54</v>
      </c>
      <c r="E286" t="s">
        <v>55</v>
      </c>
      <c r="F286" t="s">
        <v>56</v>
      </c>
      <c r="G286" t="s">
        <v>57</v>
      </c>
      <c r="H286" t="s">
        <v>21</v>
      </c>
      <c r="I286" t="s">
        <v>22</v>
      </c>
      <c r="J286">
        <v>1</v>
      </c>
      <c r="K286">
        <v>981.18</v>
      </c>
      <c r="L286">
        <v>981.18</v>
      </c>
      <c r="M286">
        <v>0.1</v>
      </c>
      <c r="N286">
        <v>71.12</v>
      </c>
      <c r="O286" t="s">
        <v>49</v>
      </c>
    </row>
    <row r="287" spans="1:15" x14ac:dyDescent="0.2">
      <c r="A287" t="s">
        <v>369</v>
      </c>
      <c r="B287" s="1">
        <v>45761</v>
      </c>
      <c r="C287" t="s">
        <v>39</v>
      </c>
      <c r="D287" t="s">
        <v>76</v>
      </c>
      <c r="E287" t="s">
        <v>18</v>
      </c>
      <c r="F287" t="s">
        <v>19</v>
      </c>
      <c r="G287" t="s">
        <v>57</v>
      </c>
      <c r="H287" t="s">
        <v>41</v>
      </c>
      <c r="I287" t="s">
        <v>86</v>
      </c>
      <c r="J287">
        <v>5</v>
      </c>
      <c r="K287">
        <v>984.42</v>
      </c>
      <c r="L287">
        <v>4922.1000000000004</v>
      </c>
      <c r="M287">
        <v>0.05</v>
      </c>
      <c r="N287">
        <v>1160.6400000000001</v>
      </c>
      <c r="O287" t="s">
        <v>49</v>
      </c>
    </row>
    <row r="288" spans="1:15" x14ac:dyDescent="0.2">
      <c r="A288" t="s">
        <v>370</v>
      </c>
      <c r="B288" s="1">
        <v>45473</v>
      </c>
      <c r="C288" t="s">
        <v>25</v>
      </c>
      <c r="D288" t="s">
        <v>124</v>
      </c>
      <c r="E288" t="s">
        <v>55</v>
      </c>
      <c r="F288" t="s">
        <v>56</v>
      </c>
      <c r="G288" t="s">
        <v>57</v>
      </c>
      <c r="H288" t="s">
        <v>47</v>
      </c>
      <c r="I288" t="s">
        <v>58</v>
      </c>
      <c r="J288">
        <v>2</v>
      </c>
      <c r="K288">
        <v>528.79</v>
      </c>
      <c r="L288">
        <v>1057.58</v>
      </c>
      <c r="M288">
        <v>0.1</v>
      </c>
      <c r="N288">
        <v>101.34</v>
      </c>
      <c r="O288" t="s">
        <v>49</v>
      </c>
    </row>
    <row r="289" spans="1:15" x14ac:dyDescent="0.2">
      <c r="A289" t="s">
        <v>371</v>
      </c>
      <c r="B289" s="1">
        <v>45466</v>
      </c>
      <c r="C289" t="s">
        <v>25</v>
      </c>
      <c r="D289" t="s">
        <v>107</v>
      </c>
      <c r="E289" t="s">
        <v>96</v>
      </c>
      <c r="F289" t="s">
        <v>56</v>
      </c>
      <c r="G289" t="s">
        <v>20</v>
      </c>
      <c r="H289" t="s">
        <v>41</v>
      </c>
      <c r="I289" t="s">
        <v>86</v>
      </c>
      <c r="J289">
        <v>5</v>
      </c>
      <c r="K289">
        <v>458.62</v>
      </c>
      <c r="L289">
        <v>2293.1</v>
      </c>
      <c r="M289">
        <v>0.05</v>
      </c>
      <c r="N289">
        <v>360.38</v>
      </c>
      <c r="O289" t="s">
        <v>30</v>
      </c>
    </row>
    <row r="290" spans="1:15" x14ac:dyDescent="0.2">
      <c r="A290" t="s">
        <v>372</v>
      </c>
      <c r="B290" s="1">
        <v>45679</v>
      </c>
      <c r="C290" t="s">
        <v>39</v>
      </c>
      <c r="D290" t="s">
        <v>130</v>
      </c>
      <c r="E290" t="s">
        <v>101</v>
      </c>
      <c r="F290" t="s">
        <v>56</v>
      </c>
      <c r="G290" t="s">
        <v>36</v>
      </c>
      <c r="H290" t="s">
        <v>47</v>
      </c>
      <c r="I290" t="s">
        <v>48</v>
      </c>
      <c r="J290">
        <v>1</v>
      </c>
      <c r="K290">
        <v>363.5</v>
      </c>
      <c r="L290">
        <v>363.5</v>
      </c>
      <c r="M290">
        <v>0.2</v>
      </c>
      <c r="N290">
        <v>20.47</v>
      </c>
      <c r="O290" t="s">
        <v>37</v>
      </c>
    </row>
    <row r="291" spans="1:15" x14ac:dyDescent="0.2">
      <c r="A291" t="s">
        <v>373</v>
      </c>
      <c r="B291" s="1">
        <v>45789</v>
      </c>
      <c r="C291" t="s">
        <v>32</v>
      </c>
      <c r="D291" t="s">
        <v>54</v>
      </c>
      <c r="E291" t="s">
        <v>55</v>
      </c>
      <c r="F291" t="s">
        <v>56</v>
      </c>
      <c r="G291" t="s">
        <v>36</v>
      </c>
      <c r="H291" t="s">
        <v>41</v>
      </c>
      <c r="I291" t="s">
        <v>42</v>
      </c>
      <c r="J291">
        <v>8</v>
      </c>
      <c r="K291">
        <v>181.27</v>
      </c>
      <c r="L291">
        <v>1450.16</v>
      </c>
      <c r="M291">
        <v>0</v>
      </c>
      <c r="N291">
        <v>106.54</v>
      </c>
      <c r="O291" t="s">
        <v>23</v>
      </c>
    </row>
    <row r="292" spans="1:15" x14ac:dyDescent="0.2">
      <c r="A292" t="s">
        <v>374</v>
      </c>
      <c r="B292" s="1">
        <v>45483</v>
      </c>
      <c r="C292" t="s">
        <v>39</v>
      </c>
      <c r="D292" t="s">
        <v>95</v>
      </c>
      <c r="E292" t="s">
        <v>96</v>
      </c>
      <c r="F292" t="s">
        <v>56</v>
      </c>
      <c r="G292" t="s">
        <v>36</v>
      </c>
      <c r="H292" t="s">
        <v>66</v>
      </c>
      <c r="I292" t="s">
        <v>73</v>
      </c>
      <c r="J292">
        <v>4</v>
      </c>
      <c r="K292">
        <v>397.85</v>
      </c>
      <c r="L292">
        <v>1591.4</v>
      </c>
      <c r="M292">
        <v>0.1</v>
      </c>
      <c r="N292">
        <v>268.69</v>
      </c>
      <c r="O292" t="s">
        <v>30</v>
      </c>
    </row>
    <row r="293" spans="1:15" x14ac:dyDescent="0.2">
      <c r="A293" t="s">
        <v>375</v>
      </c>
      <c r="B293" s="1">
        <v>45648</v>
      </c>
      <c r="C293" t="s">
        <v>16</v>
      </c>
      <c r="D293" t="s">
        <v>54</v>
      </c>
      <c r="E293" t="s">
        <v>55</v>
      </c>
      <c r="F293" t="s">
        <v>56</v>
      </c>
      <c r="G293" t="s">
        <v>20</v>
      </c>
      <c r="H293" t="s">
        <v>41</v>
      </c>
      <c r="I293" t="s">
        <v>86</v>
      </c>
      <c r="J293">
        <v>5</v>
      </c>
      <c r="K293">
        <v>633.07000000000005</v>
      </c>
      <c r="L293">
        <v>3165.35</v>
      </c>
      <c r="M293">
        <v>0.15</v>
      </c>
      <c r="N293">
        <v>332.19</v>
      </c>
      <c r="O293" t="s">
        <v>49</v>
      </c>
    </row>
    <row r="294" spans="1:15" x14ac:dyDescent="0.2">
      <c r="A294" t="s">
        <v>376</v>
      </c>
      <c r="B294" s="1">
        <v>45694</v>
      </c>
      <c r="C294" t="s">
        <v>44</v>
      </c>
      <c r="D294" t="s">
        <v>119</v>
      </c>
      <c r="E294" t="s">
        <v>120</v>
      </c>
      <c r="F294" t="s">
        <v>28</v>
      </c>
      <c r="G294" t="s">
        <v>36</v>
      </c>
      <c r="H294" t="s">
        <v>21</v>
      </c>
      <c r="I294" t="s">
        <v>52</v>
      </c>
      <c r="J294">
        <v>10</v>
      </c>
      <c r="K294">
        <v>573.84</v>
      </c>
      <c r="L294">
        <v>5738.4</v>
      </c>
      <c r="M294">
        <v>0.2</v>
      </c>
      <c r="N294">
        <v>669.78</v>
      </c>
      <c r="O294" t="s">
        <v>30</v>
      </c>
    </row>
    <row r="295" spans="1:15" x14ac:dyDescent="0.2">
      <c r="A295" t="s">
        <v>377</v>
      </c>
      <c r="B295" s="1">
        <v>45531</v>
      </c>
      <c r="C295" t="s">
        <v>25</v>
      </c>
      <c r="D295" t="s">
        <v>100</v>
      </c>
      <c r="E295" t="s">
        <v>101</v>
      </c>
      <c r="F295" t="s">
        <v>56</v>
      </c>
      <c r="G295" t="s">
        <v>20</v>
      </c>
      <c r="H295" t="s">
        <v>21</v>
      </c>
      <c r="I295" t="s">
        <v>79</v>
      </c>
      <c r="J295">
        <v>2</v>
      </c>
      <c r="K295">
        <v>326.58</v>
      </c>
      <c r="L295">
        <v>653.16</v>
      </c>
      <c r="M295">
        <v>0.2</v>
      </c>
      <c r="N295">
        <v>45.45</v>
      </c>
      <c r="O295" t="s">
        <v>37</v>
      </c>
    </row>
    <row r="296" spans="1:15" x14ac:dyDescent="0.2">
      <c r="A296" t="s">
        <v>378</v>
      </c>
      <c r="B296" s="1">
        <v>45594</v>
      </c>
      <c r="C296" t="s">
        <v>39</v>
      </c>
      <c r="D296" t="s">
        <v>107</v>
      </c>
      <c r="E296" t="s">
        <v>96</v>
      </c>
      <c r="F296" t="s">
        <v>56</v>
      </c>
      <c r="G296" t="s">
        <v>20</v>
      </c>
      <c r="H296" t="s">
        <v>21</v>
      </c>
      <c r="I296" t="s">
        <v>29</v>
      </c>
      <c r="J296">
        <v>3</v>
      </c>
      <c r="K296">
        <v>862.28</v>
      </c>
      <c r="L296">
        <v>2586.84</v>
      </c>
      <c r="M296">
        <v>0.05</v>
      </c>
      <c r="N296">
        <v>125.49</v>
      </c>
      <c r="O296" t="s">
        <v>30</v>
      </c>
    </row>
    <row r="297" spans="1:15" x14ac:dyDescent="0.2">
      <c r="A297" t="s">
        <v>379</v>
      </c>
      <c r="B297" s="1">
        <v>45647</v>
      </c>
      <c r="C297" t="s">
        <v>44</v>
      </c>
      <c r="D297" t="s">
        <v>154</v>
      </c>
      <c r="E297" t="s">
        <v>120</v>
      </c>
      <c r="F297" t="s">
        <v>28</v>
      </c>
      <c r="G297" t="s">
        <v>36</v>
      </c>
      <c r="H297" t="s">
        <v>47</v>
      </c>
      <c r="I297" t="s">
        <v>58</v>
      </c>
      <c r="J297">
        <v>2</v>
      </c>
      <c r="K297">
        <v>563.37</v>
      </c>
      <c r="L297">
        <v>1126.74</v>
      </c>
      <c r="M297">
        <v>0</v>
      </c>
      <c r="N297">
        <v>75.400000000000006</v>
      </c>
      <c r="O297" t="s">
        <v>37</v>
      </c>
    </row>
    <row r="298" spans="1:15" x14ac:dyDescent="0.2">
      <c r="A298" t="s">
        <v>380</v>
      </c>
      <c r="B298" s="1">
        <v>45454</v>
      </c>
      <c r="C298" t="s">
        <v>16</v>
      </c>
      <c r="D298" t="s">
        <v>142</v>
      </c>
      <c r="E298" t="s">
        <v>143</v>
      </c>
      <c r="F298" t="s">
        <v>35</v>
      </c>
      <c r="G298" t="s">
        <v>20</v>
      </c>
      <c r="H298" t="s">
        <v>21</v>
      </c>
      <c r="I298" t="s">
        <v>22</v>
      </c>
      <c r="J298">
        <v>4</v>
      </c>
      <c r="K298">
        <v>302</v>
      </c>
      <c r="L298">
        <v>1208</v>
      </c>
      <c r="M298">
        <v>0.2</v>
      </c>
      <c r="N298">
        <v>223.16</v>
      </c>
      <c r="O298" t="s">
        <v>30</v>
      </c>
    </row>
    <row r="299" spans="1:15" x14ac:dyDescent="0.2">
      <c r="A299" t="s">
        <v>381</v>
      </c>
      <c r="B299" s="1">
        <v>45465</v>
      </c>
      <c r="C299" t="s">
        <v>25</v>
      </c>
      <c r="D299" t="s">
        <v>95</v>
      </c>
      <c r="E299" t="s">
        <v>96</v>
      </c>
      <c r="F299" t="s">
        <v>56</v>
      </c>
      <c r="G299" t="s">
        <v>20</v>
      </c>
      <c r="H299" t="s">
        <v>66</v>
      </c>
      <c r="I299" t="s">
        <v>73</v>
      </c>
      <c r="J299">
        <v>10</v>
      </c>
      <c r="K299">
        <v>539.13</v>
      </c>
      <c r="L299">
        <v>5391.3</v>
      </c>
      <c r="M299">
        <v>0.05</v>
      </c>
      <c r="N299">
        <v>960.77</v>
      </c>
      <c r="O299" t="s">
        <v>23</v>
      </c>
    </row>
    <row r="300" spans="1:15" x14ac:dyDescent="0.2">
      <c r="A300" t="s">
        <v>382</v>
      </c>
      <c r="B300" s="1">
        <v>45511</v>
      </c>
      <c r="C300" t="s">
        <v>25</v>
      </c>
      <c r="D300" t="s">
        <v>154</v>
      </c>
      <c r="E300" t="s">
        <v>120</v>
      </c>
      <c r="F300" t="s">
        <v>28</v>
      </c>
      <c r="G300" t="s">
        <v>36</v>
      </c>
      <c r="H300" t="s">
        <v>21</v>
      </c>
      <c r="I300" t="s">
        <v>79</v>
      </c>
      <c r="J300">
        <v>10</v>
      </c>
      <c r="K300">
        <v>552.97</v>
      </c>
      <c r="L300">
        <v>5529.7</v>
      </c>
      <c r="M300">
        <v>0.2</v>
      </c>
      <c r="N300">
        <v>538.87</v>
      </c>
      <c r="O300" t="s">
        <v>37</v>
      </c>
    </row>
    <row r="301" spans="1:15" x14ac:dyDescent="0.2">
      <c r="A301" t="s">
        <v>383</v>
      </c>
      <c r="B301" s="1">
        <v>45640</v>
      </c>
      <c r="C301" t="s">
        <v>25</v>
      </c>
      <c r="D301" t="s">
        <v>95</v>
      </c>
      <c r="E301" t="s">
        <v>96</v>
      </c>
      <c r="F301" t="s">
        <v>56</v>
      </c>
      <c r="G301" t="s">
        <v>57</v>
      </c>
      <c r="H301" t="s">
        <v>41</v>
      </c>
      <c r="I301" t="s">
        <v>86</v>
      </c>
      <c r="J301">
        <v>7</v>
      </c>
      <c r="K301">
        <v>457.16</v>
      </c>
      <c r="L301">
        <v>3200.12</v>
      </c>
      <c r="M301">
        <v>0.1</v>
      </c>
      <c r="N301">
        <v>533.70000000000005</v>
      </c>
      <c r="O301" t="s">
        <v>37</v>
      </c>
    </row>
    <row r="302" spans="1:15" x14ac:dyDescent="0.2">
      <c r="A302" t="s">
        <v>384</v>
      </c>
      <c r="B302" s="1">
        <v>45636</v>
      </c>
      <c r="C302" t="s">
        <v>39</v>
      </c>
      <c r="D302" t="s">
        <v>93</v>
      </c>
      <c r="E302" t="s">
        <v>61</v>
      </c>
      <c r="F302" t="s">
        <v>19</v>
      </c>
      <c r="G302" t="s">
        <v>20</v>
      </c>
      <c r="H302" t="s">
        <v>41</v>
      </c>
      <c r="I302" t="s">
        <v>86</v>
      </c>
      <c r="J302">
        <v>10</v>
      </c>
      <c r="K302">
        <v>658</v>
      </c>
      <c r="L302">
        <v>6580</v>
      </c>
      <c r="M302">
        <v>0.2</v>
      </c>
      <c r="N302">
        <v>900.09</v>
      </c>
      <c r="O302" t="s">
        <v>23</v>
      </c>
    </row>
    <row r="303" spans="1:15" x14ac:dyDescent="0.2">
      <c r="A303" t="s">
        <v>385</v>
      </c>
      <c r="B303" s="1">
        <v>45683</v>
      </c>
      <c r="C303" t="s">
        <v>32</v>
      </c>
      <c r="D303" t="s">
        <v>40</v>
      </c>
      <c r="E303" t="s">
        <v>34</v>
      </c>
      <c r="F303" t="s">
        <v>35</v>
      </c>
      <c r="G303" t="s">
        <v>20</v>
      </c>
      <c r="H303" t="s">
        <v>47</v>
      </c>
      <c r="I303" t="s">
        <v>77</v>
      </c>
      <c r="J303">
        <v>2</v>
      </c>
      <c r="K303">
        <v>271.58</v>
      </c>
      <c r="L303">
        <v>543.16</v>
      </c>
      <c r="M303">
        <v>0.2</v>
      </c>
      <c r="N303">
        <v>31.29</v>
      </c>
      <c r="O303" t="s">
        <v>37</v>
      </c>
    </row>
    <row r="304" spans="1:15" x14ac:dyDescent="0.2">
      <c r="A304" t="s">
        <v>386</v>
      </c>
      <c r="B304" s="1">
        <v>45663</v>
      </c>
      <c r="C304" t="s">
        <v>25</v>
      </c>
      <c r="D304" t="s">
        <v>142</v>
      </c>
      <c r="E304" t="s">
        <v>143</v>
      </c>
      <c r="F304" t="s">
        <v>35</v>
      </c>
      <c r="G304" t="s">
        <v>57</v>
      </c>
      <c r="H304" t="s">
        <v>47</v>
      </c>
      <c r="I304" t="s">
        <v>77</v>
      </c>
      <c r="J304">
        <v>3</v>
      </c>
      <c r="K304">
        <v>869.12</v>
      </c>
      <c r="L304">
        <v>2607.36</v>
      </c>
      <c r="M304">
        <v>0.05</v>
      </c>
      <c r="N304">
        <v>259.41000000000003</v>
      </c>
      <c r="O304" t="s">
        <v>23</v>
      </c>
    </row>
    <row r="305" spans="1:15" x14ac:dyDescent="0.2">
      <c r="A305" t="s">
        <v>387</v>
      </c>
      <c r="B305" s="1">
        <v>45518</v>
      </c>
      <c r="C305" t="s">
        <v>32</v>
      </c>
      <c r="D305" t="s">
        <v>113</v>
      </c>
      <c r="E305" t="s">
        <v>91</v>
      </c>
      <c r="F305" t="s">
        <v>19</v>
      </c>
      <c r="G305" t="s">
        <v>36</v>
      </c>
      <c r="H305" t="s">
        <v>21</v>
      </c>
      <c r="I305" t="s">
        <v>29</v>
      </c>
      <c r="J305">
        <v>10</v>
      </c>
      <c r="K305">
        <v>821.7</v>
      </c>
      <c r="L305">
        <v>8217</v>
      </c>
      <c r="M305">
        <v>0.15</v>
      </c>
      <c r="N305">
        <v>482.68</v>
      </c>
      <c r="O305" t="s">
        <v>23</v>
      </c>
    </row>
    <row r="306" spans="1:15" x14ac:dyDescent="0.2">
      <c r="A306" t="s">
        <v>388</v>
      </c>
      <c r="B306" s="1">
        <v>45564</v>
      </c>
      <c r="C306" t="s">
        <v>44</v>
      </c>
      <c r="D306" t="s">
        <v>238</v>
      </c>
      <c r="E306" t="s">
        <v>143</v>
      </c>
      <c r="F306" t="s">
        <v>35</v>
      </c>
      <c r="G306" t="s">
        <v>36</v>
      </c>
      <c r="H306" t="s">
        <v>66</v>
      </c>
      <c r="I306" t="s">
        <v>73</v>
      </c>
      <c r="J306">
        <v>3</v>
      </c>
      <c r="K306">
        <v>319.36</v>
      </c>
      <c r="L306">
        <v>958.08</v>
      </c>
      <c r="M306">
        <v>0.15</v>
      </c>
      <c r="N306">
        <v>70.150000000000006</v>
      </c>
      <c r="O306" t="s">
        <v>30</v>
      </c>
    </row>
    <row r="307" spans="1:15" x14ac:dyDescent="0.2">
      <c r="A307" t="s">
        <v>389</v>
      </c>
      <c r="B307" s="1">
        <v>45807</v>
      </c>
      <c r="C307" t="s">
        <v>44</v>
      </c>
      <c r="D307" t="s">
        <v>113</v>
      </c>
      <c r="E307" t="s">
        <v>91</v>
      </c>
      <c r="F307" t="s">
        <v>19</v>
      </c>
      <c r="G307" t="s">
        <v>20</v>
      </c>
      <c r="H307" t="s">
        <v>47</v>
      </c>
      <c r="I307" t="s">
        <v>58</v>
      </c>
      <c r="J307">
        <v>3</v>
      </c>
      <c r="K307">
        <v>144.38</v>
      </c>
      <c r="L307">
        <v>433.14</v>
      </c>
      <c r="M307">
        <v>0.2</v>
      </c>
      <c r="N307">
        <v>68.290000000000006</v>
      </c>
      <c r="O307" t="s">
        <v>37</v>
      </c>
    </row>
    <row r="308" spans="1:15" x14ac:dyDescent="0.2">
      <c r="A308" t="s">
        <v>390</v>
      </c>
      <c r="B308" s="1">
        <v>45705</v>
      </c>
      <c r="C308" t="s">
        <v>16</v>
      </c>
      <c r="D308" t="s">
        <v>17</v>
      </c>
      <c r="E308" t="s">
        <v>18</v>
      </c>
      <c r="F308" t="s">
        <v>19</v>
      </c>
      <c r="G308" t="s">
        <v>36</v>
      </c>
      <c r="H308" t="s">
        <v>21</v>
      </c>
      <c r="I308" t="s">
        <v>22</v>
      </c>
      <c r="J308">
        <v>6</v>
      </c>
      <c r="K308">
        <v>798.87</v>
      </c>
      <c r="L308">
        <v>4793.22</v>
      </c>
      <c r="M308">
        <v>0.2</v>
      </c>
      <c r="N308">
        <v>411.7</v>
      </c>
      <c r="O308" t="s">
        <v>49</v>
      </c>
    </row>
    <row r="309" spans="1:15" x14ac:dyDescent="0.2">
      <c r="A309" t="s">
        <v>391</v>
      </c>
      <c r="B309" s="1">
        <v>45785</v>
      </c>
      <c r="C309" t="s">
        <v>25</v>
      </c>
      <c r="D309" t="s">
        <v>113</v>
      </c>
      <c r="E309" t="s">
        <v>91</v>
      </c>
      <c r="F309" t="s">
        <v>19</v>
      </c>
      <c r="G309" t="s">
        <v>57</v>
      </c>
      <c r="H309" t="s">
        <v>47</v>
      </c>
      <c r="I309" t="s">
        <v>48</v>
      </c>
      <c r="J309">
        <v>2</v>
      </c>
      <c r="K309">
        <v>635.41</v>
      </c>
      <c r="L309">
        <v>1270.82</v>
      </c>
      <c r="M309">
        <v>0</v>
      </c>
      <c r="N309">
        <v>249.07</v>
      </c>
      <c r="O309" t="s">
        <v>23</v>
      </c>
    </row>
    <row r="310" spans="1:15" x14ac:dyDescent="0.2">
      <c r="A310" t="s">
        <v>392</v>
      </c>
      <c r="B310" s="1">
        <v>45687</v>
      </c>
      <c r="C310" t="s">
        <v>44</v>
      </c>
      <c r="D310" t="s">
        <v>119</v>
      </c>
      <c r="E310" t="s">
        <v>120</v>
      </c>
      <c r="F310" t="s">
        <v>28</v>
      </c>
      <c r="G310" t="s">
        <v>57</v>
      </c>
      <c r="H310" t="s">
        <v>21</v>
      </c>
      <c r="I310" t="s">
        <v>79</v>
      </c>
      <c r="J310">
        <v>7</v>
      </c>
      <c r="K310">
        <v>677.68</v>
      </c>
      <c r="L310">
        <v>4743.76</v>
      </c>
      <c r="M310">
        <v>0.05</v>
      </c>
      <c r="N310">
        <v>657.65</v>
      </c>
      <c r="O310" t="s">
        <v>30</v>
      </c>
    </row>
    <row r="311" spans="1:15" x14ac:dyDescent="0.2">
      <c r="A311" t="s">
        <v>393</v>
      </c>
      <c r="B311" s="1">
        <v>45464</v>
      </c>
      <c r="C311" t="s">
        <v>32</v>
      </c>
      <c r="D311" t="s">
        <v>69</v>
      </c>
      <c r="E311" t="s">
        <v>27</v>
      </c>
      <c r="F311" t="s">
        <v>28</v>
      </c>
      <c r="G311" t="s">
        <v>20</v>
      </c>
      <c r="H311" t="s">
        <v>21</v>
      </c>
      <c r="I311" t="s">
        <v>29</v>
      </c>
      <c r="J311">
        <v>9</v>
      </c>
      <c r="K311">
        <v>750.17</v>
      </c>
      <c r="L311">
        <v>6751.53</v>
      </c>
      <c r="M311">
        <v>0.05</v>
      </c>
      <c r="N311">
        <v>1596.08</v>
      </c>
      <c r="O311" t="s">
        <v>49</v>
      </c>
    </row>
    <row r="312" spans="1:15" x14ac:dyDescent="0.2">
      <c r="A312" t="s">
        <v>394</v>
      </c>
      <c r="B312" s="1">
        <v>45771</v>
      </c>
      <c r="C312" t="s">
        <v>39</v>
      </c>
      <c r="D312" t="s">
        <v>76</v>
      </c>
      <c r="E312" t="s">
        <v>18</v>
      </c>
      <c r="F312" t="s">
        <v>19</v>
      </c>
      <c r="G312" t="s">
        <v>36</v>
      </c>
      <c r="H312" t="s">
        <v>21</v>
      </c>
      <c r="I312" t="s">
        <v>29</v>
      </c>
      <c r="J312">
        <v>3</v>
      </c>
      <c r="K312">
        <v>514.66</v>
      </c>
      <c r="L312">
        <v>1543.98</v>
      </c>
      <c r="M312">
        <v>0</v>
      </c>
      <c r="N312">
        <v>207.73</v>
      </c>
      <c r="O312" t="s">
        <v>23</v>
      </c>
    </row>
    <row r="313" spans="1:15" x14ac:dyDescent="0.2">
      <c r="A313" t="s">
        <v>395</v>
      </c>
      <c r="B313" s="1">
        <v>45741</v>
      </c>
      <c r="C313" t="s">
        <v>39</v>
      </c>
      <c r="D313" t="s">
        <v>51</v>
      </c>
      <c r="E313" t="s">
        <v>46</v>
      </c>
      <c r="F313" t="s">
        <v>35</v>
      </c>
      <c r="G313" t="s">
        <v>20</v>
      </c>
      <c r="H313" t="s">
        <v>47</v>
      </c>
      <c r="I313" t="s">
        <v>77</v>
      </c>
      <c r="J313">
        <v>5</v>
      </c>
      <c r="K313">
        <v>300.58</v>
      </c>
      <c r="L313">
        <v>1502.9</v>
      </c>
      <c r="M313">
        <v>0.1</v>
      </c>
      <c r="N313">
        <v>139.25</v>
      </c>
      <c r="O313" t="s">
        <v>30</v>
      </c>
    </row>
    <row r="314" spans="1:15" x14ac:dyDescent="0.2">
      <c r="A314" t="s">
        <v>396</v>
      </c>
      <c r="B314" s="1">
        <v>45583</v>
      </c>
      <c r="C314" t="s">
        <v>16</v>
      </c>
      <c r="D314" t="s">
        <v>113</v>
      </c>
      <c r="E314" t="s">
        <v>91</v>
      </c>
      <c r="F314" t="s">
        <v>19</v>
      </c>
      <c r="G314" t="s">
        <v>20</v>
      </c>
      <c r="H314" t="s">
        <v>21</v>
      </c>
      <c r="I314" t="s">
        <v>29</v>
      </c>
      <c r="J314">
        <v>1</v>
      </c>
      <c r="K314">
        <v>357.03</v>
      </c>
      <c r="L314">
        <v>357.03</v>
      </c>
      <c r="M314">
        <v>0.2</v>
      </c>
      <c r="N314">
        <v>40.58</v>
      </c>
      <c r="O314" t="s">
        <v>49</v>
      </c>
    </row>
    <row r="315" spans="1:15" x14ac:dyDescent="0.2">
      <c r="A315" t="s">
        <v>397</v>
      </c>
      <c r="B315" s="1">
        <v>45683</v>
      </c>
      <c r="C315" t="s">
        <v>39</v>
      </c>
      <c r="D315" t="s">
        <v>119</v>
      </c>
      <c r="E315" t="s">
        <v>120</v>
      </c>
      <c r="F315" t="s">
        <v>28</v>
      </c>
      <c r="G315" t="s">
        <v>57</v>
      </c>
      <c r="H315" t="s">
        <v>66</v>
      </c>
      <c r="I315" t="s">
        <v>67</v>
      </c>
      <c r="J315">
        <v>1</v>
      </c>
      <c r="K315">
        <v>103.14</v>
      </c>
      <c r="L315">
        <v>103.14</v>
      </c>
      <c r="M315">
        <v>0.15</v>
      </c>
      <c r="N315">
        <v>7.85</v>
      </c>
      <c r="O315" t="s">
        <v>23</v>
      </c>
    </row>
    <row r="316" spans="1:15" x14ac:dyDescent="0.2">
      <c r="A316" t="s">
        <v>398</v>
      </c>
      <c r="B316" s="1">
        <v>45782</v>
      </c>
      <c r="C316" t="s">
        <v>39</v>
      </c>
      <c r="D316" t="s">
        <v>104</v>
      </c>
      <c r="E316" t="s">
        <v>72</v>
      </c>
      <c r="F316" t="s">
        <v>28</v>
      </c>
      <c r="G316" t="s">
        <v>20</v>
      </c>
      <c r="H316" t="s">
        <v>41</v>
      </c>
      <c r="I316" t="s">
        <v>42</v>
      </c>
      <c r="J316">
        <v>4</v>
      </c>
      <c r="K316">
        <v>471.76</v>
      </c>
      <c r="L316">
        <v>1887.04</v>
      </c>
      <c r="M316">
        <v>0.1</v>
      </c>
      <c r="N316">
        <v>186.57</v>
      </c>
      <c r="O316" t="s">
        <v>23</v>
      </c>
    </row>
    <row r="317" spans="1:15" x14ac:dyDescent="0.2">
      <c r="A317" t="s">
        <v>399</v>
      </c>
      <c r="B317" s="1">
        <v>45453</v>
      </c>
      <c r="C317" t="s">
        <v>16</v>
      </c>
      <c r="D317" t="s">
        <v>51</v>
      </c>
      <c r="E317" t="s">
        <v>46</v>
      </c>
      <c r="F317" t="s">
        <v>35</v>
      </c>
      <c r="G317" t="s">
        <v>36</v>
      </c>
      <c r="H317" t="s">
        <v>47</v>
      </c>
      <c r="I317" t="s">
        <v>77</v>
      </c>
      <c r="J317">
        <v>6</v>
      </c>
      <c r="K317">
        <v>747.6</v>
      </c>
      <c r="L317">
        <v>4485.6000000000004</v>
      </c>
      <c r="M317">
        <v>0</v>
      </c>
      <c r="N317">
        <v>546.55999999999995</v>
      </c>
      <c r="O317" t="s">
        <v>37</v>
      </c>
    </row>
    <row r="318" spans="1:15" x14ac:dyDescent="0.2">
      <c r="A318" t="s">
        <v>400</v>
      </c>
      <c r="B318" s="1">
        <v>45648</v>
      </c>
      <c r="C318" t="s">
        <v>39</v>
      </c>
      <c r="D318" t="s">
        <v>113</v>
      </c>
      <c r="E318" t="s">
        <v>91</v>
      </c>
      <c r="F318" t="s">
        <v>19</v>
      </c>
      <c r="G318" t="s">
        <v>57</v>
      </c>
      <c r="H318" t="s">
        <v>41</v>
      </c>
      <c r="I318" t="s">
        <v>63</v>
      </c>
      <c r="J318">
        <v>6</v>
      </c>
      <c r="K318">
        <v>901.2</v>
      </c>
      <c r="L318">
        <v>5407.2</v>
      </c>
      <c r="M318">
        <v>0.05</v>
      </c>
      <c r="N318">
        <v>941.28</v>
      </c>
      <c r="O318" t="s">
        <v>49</v>
      </c>
    </row>
    <row r="319" spans="1:15" x14ac:dyDescent="0.2">
      <c r="A319" t="s">
        <v>401</v>
      </c>
      <c r="B319" s="1">
        <v>45771</v>
      </c>
      <c r="C319" t="s">
        <v>16</v>
      </c>
      <c r="D319" t="s">
        <v>51</v>
      </c>
      <c r="E319" t="s">
        <v>46</v>
      </c>
      <c r="F319" t="s">
        <v>35</v>
      </c>
      <c r="G319" t="s">
        <v>20</v>
      </c>
      <c r="H319" t="s">
        <v>47</v>
      </c>
      <c r="I319" t="s">
        <v>48</v>
      </c>
      <c r="J319">
        <v>3</v>
      </c>
      <c r="K319">
        <v>326.24</v>
      </c>
      <c r="L319">
        <v>978.72</v>
      </c>
      <c r="M319">
        <v>0.15</v>
      </c>
      <c r="N319">
        <v>125.1</v>
      </c>
      <c r="O319" t="s">
        <v>49</v>
      </c>
    </row>
    <row r="320" spans="1:15" x14ac:dyDescent="0.2">
      <c r="A320" t="s">
        <v>402</v>
      </c>
      <c r="B320" s="1">
        <v>45569</v>
      </c>
      <c r="C320" t="s">
        <v>39</v>
      </c>
      <c r="D320" t="s">
        <v>154</v>
      </c>
      <c r="E320" t="s">
        <v>120</v>
      </c>
      <c r="F320" t="s">
        <v>28</v>
      </c>
      <c r="G320" t="s">
        <v>36</v>
      </c>
      <c r="H320" t="s">
        <v>47</v>
      </c>
      <c r="I320" t="s">
        <v>77</v>
      </c>
      <c r="J320">
        <v>9</v>
      </c>
      <c r="K320">
        <v>15.62</v>
      </c>
      <c r="L320">
        <v>140.58000000000001</v>
      </c>
      <c r="M320">
        <v>0.05</v>
      </c>
      <c r="N320">
        <v>8.07</v>
      </c>
      <c r="O320" t="s">
        <v>23</v>
      </c>
    </row>
    <row r="321" spans="1:15" x14ac:dyDescent="0.2">
      <c r="A321" t="s">
        <v>403</v>
      </c>
      <c r="B321" s="1">
        <v>45624</v>
      </c>
      <c r="C321" t="s">
        <v>25</v>
      </c>
      <c r="D321" t="s">
        <v>71</v>
      </c>
      <c r="E321" t="s">
        <v>72</v>
      </c>
      <c r="F321" t="s">
        <v>28</v>
      </c>
      <c r="G321" t="s">
        <v>57</v>
      </c>
      <c r="H321" t="s">
        <v>66</v>
      </c>
      <c r="I321" t="s">
        <v>67</v>
      </c>
      <c r="J321">
        <v>2</v>
      </c>
      <c r="K321">
        <v>761.38</v>
      </c>
      <c r="L321">
        <v>1522.76</v>
      </c>
      <c r="M321">
        <v>0.05</v>
      </c>
      <c r="N321">
        <v>251.02</v>
      </c>
      <c r="O321" t="s">
        <v>49</v>
      </c>
    </row>
    <row r="322" spans="1:15" x14ac:dyDescent="0.2">
      <c r="A322" t="s">
        <v>404</v>
      </c>
      <c r="B322" s="1">
        <v>45595</v>
      </c>
      <c r="C322" t="s">
        <v>39</v>
      </c>
      <c r="D322" t="s">
        <v>51</v>
      </c>
      <c r="E322" t="s">
        <v>46</v>
      </c>
      <c r="F322" t="s">
        <v>35</v>
      </c>
      <c r="G322" t="s">
        <v>20</v>
      </c>
      <c r="H322" t="s">
        <v>41</v>
      </c>
      <c r="I322" t="s">
        <v>63</v>
      </c>
      <c r="J322">
        <v>4</v>
      </c>
      <c r="K322">
        <v>474.95</v>
      </c>
      <c r="L322">
        <v>1899.8</v>
      </c>
      <c r="M322">
        <v>0</v>
      </c>
      <c r="N322">
        <v>361.4</v>
      </c>
      <c r="O322" t="s">
        <v>49</v>
      </c>
    </row>
    <row r="323" spans="1:15" x14ac:dyDescent="0.2">
      <c r="A323" t="s">
        <v>405</v>
      </c>
      <c r="B323" s="1">
        <v>45536</v>
      </c>
      <c r="C323" t="s">
        <v>39</v>
      </c>
      <c r="D323" t="s">
        <v>60</v>
      </c>
      <c r="E323" t="s">
        <v>61</v>
      </c>
      <c r="F323" t="s">
        <v>19</v>
      </c>
      <c r="G323" t="s">
        <v>57</v>
      </c>
      <c r="H323" t="s">
        <v>41</v>
      </c>
      <c r="I323" t="s">
        <v>63</v>
      </c>
      <c r="J323">
        <v>5</v>
      </c>
      <c r="K323">
        <v>990.42</v>
      </c>
      <c r="L323">
        <v>4952.1000000000004</v>
      </c>
      <c r="M323">
        <v>0.05</v>
      </c>
      <c r="N323">
        <v>636.33000000000004</v>
      </c>
      <c r="O323" t="s">
        <v>30</v>
      </c>
    </row>
    <row r="324" spans="1:15" x14ac:dyDescent="0.2">
      <c r="A324" t="s">
        <v>406</v>
      </c>
      <c r="B324" s="1">
        <v>45653</v>
      </c>
      <c r="C324" t="s">
        <v>44</v>
      </c>
      <c r="D324" t="s">
        <v>71</v>
      </c>
      <c r="E324" t="s">
        <v>72</v>
      </c>
      <c r="F324" t="s">
        <v>28</v>
      </c>
      <c r="G324" t="s">
        <v>57</v>
      </c>
      <c r="H324" t="s">
        <v>41</v>
      </c>
      <c r="I324" t="s">
        <v>63</v>
      </c>
      <c r="J324">
        <v>4</v>
      </c>
      <c r="K324">
        <v>337.51</v>
      </c>
      <c r="L324">
        <v>1350.04</v>
      </c>
      <c r="M324">
        <v>0.15</v>
      </c>
      <c r="N324">
        <v>71.459999999999994</v>
      </c>
      <c r="O324" t="s">
        <v>37</v>
      </c>
    </row>
    <row r="325" spans="1:15" x14ac:dyDescent="0.2">
      <c r="A325" t="s">
        <v>407</v>
      </c>
      <c r="B325" s="1">
        <v>45574</v>
      </c>
      <c r="C325" t="s">
        <v>25</v>
      </c>
      <c r="D325" t="s">
        <v>104</v>
      </c>
      <c r="E325" t="s">
        <v>72</v>
      </c>
      <c r="F325" t="s">
        <v>28</v>
      </c>
      <c r="G325" t="s">
        <v>57</v>
      </c>
      <c r="H325" t="s">
        <v>47</v>
      </c>
      <c r="I325" t="s">
        <v>48</v>
      </c>
      <c r="J325">
        <v>6</v>
      </c>
      <c r="K325">
        <v>712.16</v>
      </c>
      <c r="L325">
        <v>4272.96</v>
      </c>
      <c r="M325">
        <v>0.05</v>
      </c>
      <c r="N325">
        <v>462.63</v>
      </c>
      <c r="O325" t="s">
        <v>23</v>
      </c>
    </row>
    <row r="326" spans="1:15" x14ac:dyDescent="0.2">
      <c r="A326" t="s">
        <v>408</v>
      </c>
      <c r="B326" s="1">
        <v>45569</v>
      </c>
      <c r="C326" t="s">
        <v>25</v>
      </c>
      <c r="D326" t="s">
        <v>154</v>
      </c>
      <c r="E326" t="s">
        <v>120</v>
      </c>
      <c r="F326" t="s">
        <v>28</v>
      </c>
      <c r="G326" t="s">
        <v>36</v>
      </c>
      <c r="H326" t="s">
        <v>21</v>
      </c>
      <c r="I326" t="s">
        <v>79</v>
      </c>
      <c r="J326">
        <v>8</v>
      </c>
      <c r="K326">
        <v>281.60000000000002</v>
      </c>
      <c r="L326">
        <v>2252.8000000000002</v>
      </c>
      <c r="M326">
        <v>0.2</v>
      </c>
      <c r="N326">
        <v>126.43</v>
      </c>
      <c r="O326" t="s">
        <v>23</v>
      </c>
    </row>
    <row r="327" spans="1:15" x14ac:dyDescent="0.2">
      <c r="A327" t="s">
        <v>409</v>
      </c>
      <c r="B327" s="1">
        <v>45600</v>
      </c>
      <c r="C327" t="s">
        <v>25</v>
      </c>
      <c r="D327" t="s">
        <v>100</v>
      </c>
      <c r="E327" t="s">
        <v>101</v>
      </c>
      <c r="F327" t="s">
        <v>56</v>
      </c>
      <c r="G327" t="s">
        <v>36</v>
      </c>
      <c r="H327" t="s">
        <v>41</v>
      </c>
      <c r="I327" t="s">
        <v>42</v>
      </c>
      <c r="J327">
        <v>1</v>
      </c>
      <c r="K327">
        <v>683.6</v>
      </c>
      <c r="L327">
        <v>683.6</v>
      </c>
      <c r="M327">
        <v>0.05</v>
      </c>
      <c r="N327">
        <v>75.489999999999995</v>
      </c>
      <c r="O327" t="s">
        <v>30</v>
      </c>
    </row>
    <row r="328" spans="1:15" x14ac:dyDescent="0.2">
      <c r="A328" t="s">
        <v>410</v>
      </c>
      <c r="B328" s="1">
        <v>45577</v>
      </c>
      <c r="C328" t="s">
        <v>39</v>
      </c>
      <c r="D328" t="s">
        <v>51</v>
      </c>
      <c r="E328" t="s">
        <v>46</v>
      </c>
      <c r="F328" t="s">
        <v>35</v>
      </c>
      <c r="G328" t="s">
        <v>20</v>
      </c>
      <c r="H328" t="s">
        <v>66</v>
      </c>
      <c r="I328" t="s">
        <v>73</v>
      </c>
      <c r="J328">
        <v>2</v>
      </c>
      <c r="K328">
        <v>887.42</v>
      </c>
      <c r="L328">
        <v>1774.84</v>
      </c>
      <c r="M328">
        <v>0.05</v>
      </c>
      <c r="N328">
        <v>296.60000000000002</v>
      </c>
      <c r="O328" t="s">
        <v>49</v>
      </c>
    </row>
    <row r="329" spans="1:15" x14ac:dyDescent="0.2">
      <c r="A329" t="s">
        <v>411</v>
      </c>
      <c r="B329" s="1">
        <v>45579</v>
      </c>
      <c r="C329" t="s">
        <v>32</v>
      </c>
      <c r="D329" t="s">
        <v>93</v>
      </c>
      <c r="E329" t="s">
        <v>61</v>
      </c>
      <c r="F329" t="s">
        <v>19</v>
      </c>
      <c r="G329" t="s">
        <v>36</v>
      </c>
      <c r="H329" t="s">
        <v>21</v>
      </c>
      <c r="I329" t="s">
        <v>52</v>
      </c>
      <c r="J329">
        <v>5</v>
      </c>
      <c r="K329">
        <v>725.9</v>
      </c>
      <c r="L329">
        <v>3629.5</v>
      </c>
      <c r="M329">
        <v>0.05</v>
      </c>
      <c r="N329">
        <v>540.35</v>
      </c>
      <c r="O329" t="s">
        <v>23</v>
      </c>
    </row>
    <row r="330" spans="1:15" x14ac:dyDescent="0.2">
      <c r="A330" t="s">
        <v>412</v>
      </c>
      <c r="B330" s="1">
        <v>45631</v>
      </c>
      <c r="C330" t="s">
        <v>44</v>
      </c>
      <c r="D330" t="s">
        <v>93</v>
      </c>
      <c r="E330" t="s">
        <v>61</v>
      </c>
      <c r="F330" t="s">
        <v>19</v>
      </c>
      <c r="G330" t="s">
        <v>20</v>
      </c>
      <c r="H330" t="s">
        <v>41</v>
      </c>
      <c r="I330" t="s">
        <v>63</v>
      </c>
      <c r="J330">
        <v>9</v>
      </c>
      <c r="K330">
        <v>975.18</v>
      </c>
      <c r="L330">
        <v>8776.6200000000008</v>
      </c>
      <c r="M330">
        <v>0.1</v>
      </c>
      <c r="N330">
        <v>1103.46</v>
      </c>
      <c r="O330" t="s">
        <v>23</v>
      </c>
    </row>
    <row r="331" spans="1:15" x14ac:dyDescent="0.2">
      <c r="A331" t="s">
        <v>413</v>
      </c>
      <c r="B331" s="1">
        <v>45783</v>
      </c>
      <c r="C331" t="s">
        <v>44</v>
      </c>
      <c r="D331" t="s">
        <v>71</v>
      </c>
      <c r="E331" t="s">
        <v>72</v>
      </c>
      <c r="F331" t="s">
        <v>28</v>
      </c>
      <c r="G331" t="s">
        <v>20</v>
      </c>
      <c r="H331" t="s">
        <v>21</v>
      </c>
      <c r="I331" t="s">
        <v>29</v>
      </c>
      <c r="J331">
        <v>3</v>
      </c>
      <c r="K331">
        <v>599.96</v>
      </c>
      <c r="L331">
        <v>1799.88</v>
      </c>
      <c r="M331">
        <v>0.05</v>
      </c>
      <c r="N331">
        <v>184.55</v>
      </c>
      <c r="O331" t="s">
        <v>30</v>
      </c>
    </row>
    <row r="332" spans="1:15" x14ac:dyDescent="0.2">
      <c r="A332" t="s">
        <v>414</v>
      </c>
      <c r="B332" s="1">
        <v>45600</v>
      </c>
      <c r="C332" t="s">
        <v>39</v>
      </c>
      <c r="D332" t="s">
        <v>130</v>
      </c>
      <c r="E332" t="s">
        <v>101</v>
      </c>
      <c r="F332" t="s">
        <v>56</v>
      </c>
      <c r="G332" t="s">
        <v>57</v>
      </c>
      <c r="H332" t="s">
        <v>21</v>
      </c>
      <c r="I332" t="s">
        <v>79</v>
      </c>
      <c r="J332">
        <v>9</v>
      </c>
      <c r="K332">
        <v>779.81</v>
      </c>
      <c r="L332">
        <v>7018.29</v>
      </c>
      <c r="M332">
        <v>0.15</v>
      </c>
      <c r="N332">
        <v>1022.76</v>
      </c>
      <c r="O332" t="s">
        <v>49</v>
      </c>
    </row>
    <row r="333" spans="1:15" x14ac:dyDescent="0.2">
      <c r="A333" t="s">
        <v>415</v>
      </c>
      <c r="B333" s="1">
        <v>45608</v>
      </c>
      <c r="C333" t="s">
        <v>44</v>
      </c>
      <c r="D333" t="s">
        <v>154</v>
      </c>
      <c r="E333" t="s">
        <v>120</v>
      </c>
      <c r="F333" t="s">
        <v>28</v>
      </c>
      <c r="G333" t="s">
        <v>20</v>
      </c>
      <c r="H333" t="s">
        <v>41</v>
      </c>
      <c r="I333" t="s">
        <v>63</v>
      </c>
      <c r="J333">
        <v>9</v>
      </c>
      <c r="K333">
        <v>456.53</v>
      </c>
      <c r="L333">
        <v>4108.7700000000004</v>
      </c>
      <c r="M333">
        <v>0.2</v>
      </c>
      <c r="N333">
        <v>334.51</v>
      </c>
      <c r="O333" t="s">
        <v>30</v>
      </c>
    </row>
    <row r="334" spans="1:15" x14ac:dyDescent="0.2">
      <c r="A334" t="s">
        <v>416</v>
      </c>
      <c r="B334" s="1">
        <v>45460</v>
      </c>
      <c r="C334" t="s">
        <v>39</v>
      </c>
      <c r="D334" t="s">
        <v>142</v>
      </c>
      <c r="E334" t="s">
        <v>143</v>
      </c>
      <c r="F334" t="s">
        <v>35</v>
      </c>
      <c r="G334" t="s">
        <v>36</v>
      </c>
      <c r="H334" t="s">
        <v>41</v>
      </c>
      <c r="I334" t="s">
        <v>42</v>
      </c>
      <c r="J334">
        <v>9</v>
      </c>
      <c r="K334">
        <v>239.74</v>
      </c>
      <c r="L334">
        <v>2157.66</v>
      </c>
      <c r="M334">
        <v>0</v>
      </c>
      <c r="N334">
        <v>383.9</v>
      </c>
      <c r="O334" t="s">
        <v>30</v>
      </c>
    </row>
    <row r="335" spans="1:15" x14ac:dyDescent="0.2">
      <c r="A335" s="2" t="s">
        <v>417</v>
      </c>
      <c r="B335" s="1">
        <v>45485</v>
      </c>
      <c r="C335" t="s">
        <v>39</v>
      </c>
      <c r="D335" t="s">
        <v>45</v>
      </c>
      <c r="E335" t="s">
        <v>46</v>
      </c>
      <c r="F335" t="s">
        <v>35</v>
      </c>
      <c r="G335" t="s">
        <v>20</v>
      </c>
      <c r="H335" t="s">
        <v>66</v>
      </c>
      <c r="I335" t="s">
        <v>81</v>
      </c>
      <c r="J335">
        <v>1</v>
      </c>
      <c r="K335">
        <v>649.35</v>
      </c>
      <c r="L335">
        <v>649.35</v>
      </c>
      <c r="M335">
        <v>0.2</v>
      </c>
      <c r="N335">
        <v>126.98</v>
      </c>
      <c r="O335" t="s">
        <v>30</v>
      </c>
    </row>
    <row r="336" spans="1:15" x14ac:dyDescent="0.2">
      <c r="A336" t="s">
        <v>418</v>
      </c>
      <c r="B336" s="1">
        <v>45661</v>
      </c>
      <c r="C336" t="s">
        <v>16</v>
      </c>
      <c r="D336" t="s">
        <v>142</v>
      </c>
      <c r="E336" t="s">
        <v>143</v>
      </c>
      <c r="F336" t="s">
        <v>35</v>
      </c>
      <c r="G336" t="s">
        <v>20</v>
      </c>
      <c r="H336" t="s">
        <v>66</v>
      </c>
      <c r="I336" t="s">
        <v>81</v>
      </c>
      <c r="J336">
        <v>6</v>
      </c>
      <c r="K336">
        <v>985.29</v>
      </c>
      <c r="L336">
        <v>5911.74</v>
      </c>
      <c r="M336">
        <v>0</v>
      </c>
      <c r="N336">
        <v>1269.76</v>
      </c>
      <c r="O336" t="s">
        <v>23</v>
      </c>
    </row>
    <row r="337" spans="1:15" x14ac:dyDescent="0.2">
      <c r="A337" t="s">
        <v>419</v>
      </c>
      <c r="B337" s="1">
        <v>45726</v>
      </c>
      <c r="C337" t="s">
        <v>32</v>
      </c>
      <c r="D337" t="s">
        <v>51</v>
      </c>
      <c r="E337" t="s">
        <v>46</v>
      </c>
      <c r="F337" t="s">
        <v>35</v>
      </c>
      <c r="G337" t="s">
        <v>20</v>
      </c>
      <c r="H337" t="s">
        <v>41</v>
      </c>
      <c r="I337" t="s">
        <v>86</v>
      </c>
      <c r="J337">
        <v>7</v>
      </c>
      <c r="K337">
        <v>945.76</v>
      </c>
      <c r="L337">
        <v>6620.32</v>
      </c>
      <c r="M337">
        <v>0.1</v>
      </c>
      <c r="N337">
        <v>1334.69</v>
      </c>
      <c r="O337" t="s">
        <v>30</v>
      </c>
    </row>
    <row r="338" spans="1:15" x14ac:dyDescent="0.2">
      <c r="A338" t="s">
        <v>420</v>
      </c>
      <c r="B338" s="1">
        <v>45677</v>
      </c>
      <c r="C338" t="s">
        <v>39</v>
      </c>
      <c r="D338" t="s">
        <v>90</v>
      </c>
      <c r="E338" t="s">
        <v>91</v>
      </c>
      <c r="F338" t="s">
        <v>19</v>
      </c>
      <c r="G338" t="s">
        <v>20</v>
      </c>
      <c r="H338" t="s">
        <v>41</v>
      </c>
      <c r="I338" t="s">
        <v>42</v>
      </c>
      <c r="J338">
        <v>3</v>
      </c>
      <c r="K338">
        <v>447.16</v>
      </c>
      <c r="L338">
        <v>1341.48</v>
      </c>
      <c r="M338">
        <v>0.15</v>
      </c>
      <c r="N338">
        <v>141.08000000000001</v>
      </c>
      <c r="O338" t="s">
        <v>49</v>
      </c>
    </row>
    <row r="339" spans="1:15" x14ac:dyDescent="0.2">
      <c r="A339" t="s">
        <v>421</v>
      </c>
      <c r="B339" s="1">
        <v>45793</v>
      </c>
      <c r="C339" t="s">
        <v>39</v>
      </c>
      <c r="D339" t="s">
        <v>95</v>
      </c>
      <c r="E339" t="s">
        <v>96</v>
      </c>
      <c r="F339" t="s">
        <v>56</v>
      </c>
      <c r="G339" t="s">
        <v>36</v>
      </c>
      <c r="H339" t="s">
        <v>47</v>
      </c>
      <c r="I339" t="s">
        <v>77</v>
      </c>
      <c r="J339">
        <v>10</v>
      </c>
      <c r="K339">
        <v>491.54</v>
      </c>
      <c r="L339">
        <v>4915.3999999999996</v>
      </c>
      <c r="M339">
        <v>0.05</v>
      </c>
      <c r="N339">
        <v>838.26</v>
      </c>
      <c r="O339" t="s">
        <v>37</v>
      </c>
    </row>
    <row r="340" spans="1:15" x14ac:dyDescent="0.2">
      <c r="A340" t="s">
        <v>422</v>
      </c>
      <c r="B340" s="1">
        <v>45659</v>
      </c>
      <c r="C340" t="s">
        <v>44</v>
      </c>
      <c r="D340" t="s">
        <v>93</v>
      </c>
      <c r="E340" t="s">
        <v>61</v>
      </c>
      <c r="F340" t="s">
        <v>19</v>
      </c>
      <c r="G340" t="s">
        <v>36</v>
      </c>
      <c r="H340" t="s">
        <v>21</v>
      </c>
      <c r="I340" t="s">
        <v>22</v>
      </c>
      <c r="J340">
        <v>3</v>
      </c>
      <c r="K340">
        <v>73.900000000000006</v>
      </c>
      <c r="L340">
        <v>221.7</v>
      </c>
      <c r="M340">
        <v>0.05</v>
      </c>
      <c r="N340">
        <v>29.7</v>
      </c>
      <c r="O340" t="s">
        <v>30</v>
      </c>
    </row>
    <row r="341" spans="1:15" x14ac:dyDescent="0.2">
      <c r="A341" t="s">
        <v>423</v>
      </c>
      <c r="B341" s="1">
        <v>45790</v>
      </c>
      <c r="C341" t="s">
        <v>44</v>
      </c>
      <c r="D341" t="s">
        <v>76</v>
      </c>
      <c r="E341" t="s">
        <v>18</v>
      </c>
      <c r="F341" t="s">
        <v>19</v>
      </c>
      <c r="G341" t="s">
        <v>36</v>
      </c>
      <c r="H341" t="s">
        <v>47</v>
      </c>
      <c r="I341" t="s">
        <v>77</v>
      </c>
      <c r="J341">
        <v>7</v>
      </c>
      <c r="K341">
        <v>22.67</v>
      </c>
      <c r="L341">
        <v>158.69</v>
      </c>
      <c r="M341">
        <v>0</v>
      </c>
      <c r="N341">
        <v>32.159999999999997</v>
      </c>
      <c r="O341" t="s">
        <v>49</v>
      </c>
    </row>
    <row r="342" spans="1:15" x14ac:dyDescent="0.2">
      <c r="A342" t="s">
        <v>424</v>
      </c>
      <c r="B342" s="1">
        <v>45546</v>
      </c>
      <c r="C342" t="s">
        <v>39</v>
      </c>
      <c r="D342" t="s">
        <v>93</v>
      </c>
      <c r="E342" t="s">
        <v>61</v>
      </c>
      <c r="F342" t="s">
        <v>19</v>
      </c>
      <c r="G342" t="s">
        <v>20</v>
      </c>
      <c r="H342" t="s">
        <v>21</v>
      </c>
      <c r="I342" t="s">
        <v>79</v>
      </c>
      <c r="J342">
        <v>1</v>
      </c>
      <c r="K342">
        <v>957.7</v>
      </c>
      <c r="L342">
        <v>957.7</v>
      </c>
      <c r="M342">
        <v>0</v>
      </c>
      <c r="N342">
        <v>151.77000000000001</v>
      </c>
      <c r="O342" t="s">
        <v>30</v>
      </c>
    </row>
    <row r="343" spans="1:15" x14ac:dyDescent="0.2">
      <c r="A343" t="s">
        <v>425</v>
      </c>
      <c r="B343" s="1">
        <v>45554</v>
      </c>
      <c r="C343" t="s">
        <v>16</v>
      </c>
      <c r="D343" t="s">
        <v>154</v>
      </c>
      <c r="E343" t="s">
        <v>120</v>
      </c>
      <c r="F343" t="s">
        <v>28</v>
      </c>
      <c r="G343" t="s">
        <v>20</v>
      </c>
      <c r="H343" t="s">
        <v>66</v>
      </c>
      <c r="I343" t="s">
        <v>73</v>
      </c>
      <c r="J343">
        <v>3</v>
      </c>
      <c r="K343">
        <v>308.77</v>
      </c>
      <c r="L343">
        <v>926.31</v>
      </c>
      <c r="M343">
        <v>0.15</v>
      </c>
      <c r="N343">
        <v>63.7</v>
      </c>
      <c r="O343" t="s">
        <v>49</v>
      </c>
    </row>
    <row r="344" spans="1:15" x14ac:dyDescent="0.2">
      <c r="A344" t="s">
        <v>426</v>
      </c>
      <c r="B344" s="1">
        <v>45521</v>
      </c>
      <c r="C344" t="s">
        <v>32</v>
      </c>
      <c r="D344" t="s">
        <v>154</v>
      </c>
      <c r="E344" t="s">
        <v>120</v>
      </c>
      <c r="F344" t="s">
        <v>28</v>
      </c>
      <c r="G344" t="s">
        <v>20</v>
      </c>
      <c r="H344" t="s">
        <v>21</v>
      </c>
      <c r="I344" t="s">
        <v>22</v>
      </c>
      <c r="J344">
        <v>2</v>
      </c>
      <c r="K344">
        <v>512.52</v>
      </c>
      <c r="L344">
        <v>1025.04</v>
      </c>
      <c r="M344">
        <v>0.15</v>
      </c>
      <c r="N344">
        <v>68.28</v>
      </c>
      <c r="O344" t="s">
        <v>23</v>
      </c>
    </row>
    <row r="345" spans="1:15" x14ac:dyDescent="0.2">
      <c r="A345" t="s">
        <v>427</v>
      </c>
      <c r="B345" s="1">
        <v>45759</v>
      </c>
      <c r="C345" t="s">
        <v>39</v>
      </c>
      <c r="D345" t="s">
        <v>90</v>
      </c>
      <c r="E345" t="s">
        <v>91</v>
      </c>
      <c r="F345" t="s">
        <v>19</v>
      </c>
      <c r="G345" t="s">
        <v>57</v>
      </c>
      <c r="H345" t="s">
        <v>41</v>
      </c>
      <c r="I345" t="s">
        <v>63</v>
      </c>
      <c r="J345">
        <v>4</v>
      </c>
      <c r="K345">
        <v>921.85</v>
      </c>
      <c r="L345">
        <v>3687.4</v>
      </c>
      <c r="M345">
        <v>0.15</v>
      </c>
      <c r="N345">
        <v>587.22</v>
      </c>
      <c r="O345" t="s">
        <v>23</v>
      </c>
    </row>
    <row r="346" spans="1:15" x14ac:dyDescent="0.2">
      <c r="A346" t="s">
        <v>428</v>
      </c>
      <c r="B346" s="1">
        <v>45563</v>
      </c>
      <c r="C346" t="s">
        <v>32</v>
      </c>
      <c r="D346" t="s">
        <v>60</v>
      </c>
      <c r="E346" t="s">
        <v>61</v>
      </c>
      <c r="F346" t="s">
        <v>19</v>
      </c>
      <c r="G346" t="s">
        <v>57</v>
      </c>
      <c r="H346" t="s">
        <v>21</v>
      </c>
      <c r="I346" t="s">
        <v>29</v>
      </c>
      <c r="J346">
        <v>2</v>
      </c>
      <c r="K346">
        <v>616.47</v>
      </c>
      <c r="L346">
        <v>1232.94</v>
      </c>
      <c r="M346">
        <v>0</v>
      </c>
      <c r="N346">
        <v>150.54</v>
      </c>
      <c r="O346" t="s">
        <v>23</v>
      </c>
    </row>
    <row r="347" spans="1:15" x14ac:dyDescent="0.2">
      <c r="A347" t="s">
        <v>429</v>
      </c>
      <c r="B347" s="1">
        <v>45507</v>
      </c>
      <c r="C347" t="s">
        <v>44</v>
      </c>
      <c r="D347" t="s">
        <v>93</v>
      </c>
      <c r="E347" t="s">
        <v>61</v>
      </c>
      <c r="F347" t="s">
        <v>19</v>
      </c>
      <c r="G347" t="s">
        <v>57</v>
      </c>
      <c r="H347" t="s">
        <v>21</v>
      </c>
      <c r="I347" t="s">
        <v>52</v>
      </c>
      <c r="J347">
        <v>7</v>
      </c>
      <c r="K347">
        <v>151.91999999999999</v>
      </c>
      <c r="L347">
        <v>1063.44</v>
      </c>
      <c r="M347">
        <v>0.1</v>
      </c>
      <c r="N347">
        <v>167.45</v>
      </c>
      <c r="O347" t="s">
        <v>37</v>
      </c>
    </row>
    <row r="348" spans="1:15" x14ac:dyDescent="0.2">
      <c r="A348" t="s">
        <v>430</v>
      </c>
      <c r="B348" s="1">
        <v>45640</v>
      </c>
      <c r="C348" t="s">
        <v>25</v>
      </c>
      <c r="D348" t="s">
        <v>71</v>
      </c>
      <c r="E348" t="s">
        <v>72</v>
      </c>
      <c r="F348" t="s">
        <v>28</v>
      </c>
      <c r="G348" t="s">
        <v>57</v>
      </c>
      <c r="H348" t="s">
        <v>66</v>
      </c>
      <c r="I348" t="s">
        <v>67</v>
      </c>
      <c r="J348">
        <v>1</v>
      </c>
      <c r="K348">
        <v>861.99</v>
      </c>
      <c r="L348">
        <v>861.99</v>
      </c>
      <c r="M348">
        <v>0.05</v>
      </c>
      <c r="N348">
        <v>168.33</v>
      </c>
      <c r="O348" t="s">
        <v>30</v>
      </c>
    </row>
    <row r="349" spans="1:15" x14ac:dyDescent="0.2">
      <c r="A349" t="s">
        <v>431</v>
      </c>
      <c r="B349" s="1">
        <v>45681</v>
      </c>
      <c r="C349" t="s">
        <v>16</v>
      </c>
      <c r="D349" t="s">
        <v>90</v>
      </c>
      <c r="E349" t="s">
        <v>91</v>
      </c>
      <c r="F349" t="s">
        <v>19</v>
      </c>
      <c r="G349" t="s">
        <v>36</v>
      </c>
      <c r="H349" t="s">
        <v>41</v>
      </c>
      <c r="I349" t="s">
        <v>42</v>
      </c>
      <c r="J349">
        <v>10</v>
      </c>
      <c r="K349">
        <v>428.6</v>
      </c>
      <c r="L349">
        <v>4286</v>
      </c>
      <c r="M349">
        <v>0.1</v>
      </c>
      <c r="N349">
        <v>304.48</v>
      </c>
      <c r="O349" t="s">
        <v>30</v>
      </c>
    </row>
    <row r="350" spans="1:15" x14ac:dyDescent="0.2">
      <c r="A350" t="s">
        <v>432</v>
      </c>
      <c r="B350" s="1">
        <v>45763</v>
      </c>
      <c r="C350" t="s">
        <v>25</v>
      </c>
      <c r="D350" t="s">
        <v>90</v>
      </c>
      <c r="E350" t="s">
        <v>91</v>
      </c>
      <c r="F350" t="s">
        <v>19</v>
      </c>
      <c r="G350" t="s">
        <v>57</v>
      </c>
      <c r="H350" t="s">
        <v>66</v>
      </c>
      <c r="I350" t="s">
        <v>81</v>
      </c>
      <c r="J350">
        <v>8</v>
      </c>
      <c r="K350">
        <v>694.03</v>
      </c>
      <c r="L350">
        <v>5552.24</v>
      </c>
      <c r="M350">
        <v>0.15</v>
      </c>
      <c r="N350">
        <v>803.94</v>
      </c>
      <c r="O350" t="s">
        <v>49</v>
      </c>
    </row>
    <row r="351" spans="1:15" x14ac:dyDescent="0.2">
      <c r="A351" t="s">
        <v>433</v>
      </c>
      <c r="B351" s="1">
        <v>45558</v>
      </c>
      <c r="C351" t="s">
        <v>44</v>
      </c>
      <c r="D351" t="s">
        <v>90</v>
      </c>
      <c r="E351" t="s">
        <v>91</v>
      </c>
      <c r="F351" t="s">
        <v>19</v>
      </c>
      <c r="G351" t="s">
        <v>57</v>
      </c>
      <c r="H351" t="s">
        <v>66</v>
      </c>
      <c r="I351" t="s">
        <v>81</v>
      </c>
      <c r="J351">
        <v>9</v>
      </c>
      <c r="K351">
        <v>537.14</v>
      </c>
      <c r="L351">
        <v>4834.26</v>
      </c>
      <c r="M351">
        <v>0.05</v>
      </c>
      <c r="N351">
        <v>582.91</v>
      </c>
      <c r="O351" t="s">
        <v>49</v>
      </c>
    </row>
    <row r="352" spans="1:15" x14ac:dyDescent="0.2">
      <c r="A352" t="s">
        <v>434</v>
      </c>
      <c r="B352" s="1">
        <v>45569</v>
      </c>
      <c r="C352" t="s">
        <v>39</v>
      </c>
      <c r="D352" t="s">
        <v>76</v>
      </c>
      <c r="E352" t="s">
        <v>18</v>
      </c>
      <c r="F352" t="s">
        <v>19</v>
      </c>
      <c r="G352" t="s">
        <v>57</v>
      </c>
      <c r="H352" t="s">
        <v>47</v>
      </c>
      <c r="I352" t="s">
        <v>48</v>
      </c>
      <c r="J352">
        <v>4</v>
      </c>
      <c r="K352">
        <v>993.92</v>
      </c>
      <c r="L352">
        <v>3975.68</v>
      </c>
      <c r="M352">
        <v>0</v>
      </c>
      <c r="N352">
        <v>486.94</v>
      </c>
      <c r="O352" t="s">
        <v>30</v>
      </c>
    </row>
    <row r="353" spans="1:15" x14ac:dyDescent="0.2">
      <c r="A353" t="s">
        <v>435</v>
      </c>
      <c r="B353" s="1">
        <v>45529</v>
      </c>
      <c r="C353" t="s">
        <v>25</v>
      </c>
      <c r="D353" t="s">
        <v>119</v>
      </c>
      <c r="E353" t="s">
        <v>120</v>
      </c>
      <c r="F353" t="s">
        <v>28</v>
      </c>
      <c r="G353" t="s">
        <v>36</v>
      </c>
      <c r="H353" t="s">
        <v>47</v>
      </c>
      <c r="I353" t="s">
        <v>77</v>
      </c>
      <c r="J353">
        <v>8</v>
      </c>
      <c r="K353">
        <v>145.85</v>
      </c>
      <c r="L353">
        <v>1166.8</v>
      </c>
      <c r="M353">
        <v>0.2</v>
      </c>
      <c r="N353">
        <v>228.1</v>
      </c>
      <c r="O353" t="s">
        <v>23</v>
      </c>
    </row>
    <row r="354" spans="1:15" x14ac:dyDescent="0.2">
      <c r="A354" s="2" t="s">
        <v>436</v>
      </c>
      <c r="B354" s="1">
        <v>45504</v>
      </c>
      <c r="C354" t="s">
        <v>39</v>
      </c>
      <c r="D354" t="s">
        <v>60</v>
      </c>
      <c r="E354" t="s">
        <v>61</v>
      </c>
      <c r="F354" t="s">
        <v>19</v>
      </c>
      <c r="G354" t="s">
        <v>36</v>
      </c>
      <c r="H354" t="s">
        <v>47</v>
      </c>
      <c r="I354" t="s">
        <v>77</v>
      </c>
      <c r="J354">
        <v>7</v>
      </c>
      <c r="K354">
        <v>733.62</v>
      </c>
      <c r="L354">
        <v>5135.34</v>
      </c>
      <c r="M354">
        <v>0.15</v>
      </c>
      <c r="N354">
        <v>542.74</v>
      </c>
      <c r="O354" t="s">
        <v>37</v>
      </c>
    </row>
    <row r="355" spans="1:15" x14ac:dyDescent="0.2">
      <c r="A355" t="s">
        <v>437</v>
      </c>
      <c r="B355" s="1">
        <v>45569</v>
      </c>
      <c r="C355" t="s">
        <v>32</v>
      </c>
      <c r="D355" t="s">
        <v>54</v>
      </c>
      <c r="E355" t="s">
        <v>55</v>
      </c>
      <c r="F355" t="s">
        <v>56</v>
      </c>
      <c r="G355" t="s">
        <v>36</v>
      </c>
      <c r="H355" t="s">
        <v>21</v>
      </c>
      <c r="I355" t="s">
        <v>52</v>
      </c>
      <c r="J355">
        <v>3</v>
      </c>
      <c r="K355">
        <v>80.84</v>
      </c>
      <c r="L355">
        <v>242.52</v>
      </c>
      <c r="M355">
        <v>0</v>
      </c>
      <c r="N355">
        <v>12.73</v>
      </c>
      <c r="O355" t="s">
        <v>23</v>
      </c>
    </row>
    <row r="356" spans="1:15" x14ac:dyDescent="0.2">
      <c r="A356" t="s">
        <v>438</v>
      </c>
      <c r="B356" s="1">
        <v>45629</v>
      </c>
      <c r="C356" t="s">
        <v>44</v>
      </c>
      <c r="D356" t="s">
        <v>113</v>
      </c>
      <c r="E356" t="s">
        <v>91</v>
      </c>
      <c r="F356" t="s">
        <v>19</v>
      </c>
      <c r="G356" t="s">
        <v>20</v>
      </c>
      <c r="H356" t="s">
        <v>47</v>
      </c>
      <c r="I356" t="s">
        <v>77</v>
      </c>
      <c r="J356">
        <v>8</v>
      </c>
      <c r="K356">
        <v>412.7</v>
      </c>
      <c r="L356">
        <v>3301.6</v>
      </c>
      <c r="M356">
        <v>0.1</v>
      </c>
      <c r="N356">
        <v>412.42</v>
      </c>
      <c r="O356" t="s">
        <v>23</v>
      </c>
    </row>
    <row r="357" spans="1:15" x14ac:dyDescent="0.2">
      <c r="A357" t="s">
        <v>439</v>
      </c>
      <c r="B357" s="1">
        <v>45493</v>
      </c>
      <c r="C357" t="s">
        <v>32</v>
      </c>
      <c r="D357" t="s">
        <v>154</v>
      </c>
      <c r="E357" t="s">
        <v>120</v>
      </c>
      <c r="F357" t="s">
        <v>28</v>
      </c>
      <c r="G357" t="s">
        <v>20</v>
      </c>
      <c r="H357" t="s">
        <v>21</v>
      </c>
      <c r="I357" t="s">
        <v>22</v>
      </c>
      <c r="J357">
        <v>9</v>
      </c>
      <c r="K357">
        <v>162.03</v>
      </c>
      <c r="L357">
        <v>1458.27</v>
      </c>
      <c r="M357">
        <v>0.15</v>
      </c>
      <c r="N357">
        <v>268.39999999999998</v>
      </c>
      <c r="O357" t="s">
        <v>37</v>
      </c>
    </row>
    <row r="358" spans="1:15" x14ac:dyDescent="0.2">
      <c r="A358" s="2" t="s">
        <v>440</v>
      </c>
      <c r="B358" s="1">
        <v>45807</v>
      </c>
      <c r="C358" t="s">
        <v>39</v>
      </c>
      <c r="D358" t="s">
        <v>238</v>
      </c>
      <c r="E358" t="s">
        <v>143</v>
      </c>
      <c r="F358" t="s">
        <v>35</v>
      </c>
      <c r="G358" t="s">
        <v>57</v>
      </c>
      <c r="H358" t="s">
        <v>47</v>
      </c>
      <c r="I358" t="s">
        <v>48</v>
      </c>
      <c r="J358">
        <v>5</v>
      </c>
      <c r="K358">
        <v>973.18</v>
      </c>
      <c r="L358">
        <v>4865.8999999999996</v>
      </c>
      <c r="M358">
        <v>0.2</v>
      </c>
      <c r="N358">
        <v>488.58</v>
      </c>
      <c r="O358" t="s">
        <v>37</v>
      </c>
    </row>
    <row r="359" spans="1:15" x14ac:dyDescent="0.2">
      <c r="A359" t="s">
        <v>441</v>
      </c>
      <c r="B359" s="1">
        <v>45705</v>
      </c>
      <c r="C359" t="s">
        <v>39</v>
      </c>
      <c r="D359" t="s">
        <v>113</v>
      </c>
      <c r="E359" t="s">
        <v>91</v>
      </c>
      <c r="F359" t="s">
        <v>19</v>
      </c>
      <c r="G359" t="s">
        <v>57</v>
      </c>
      <c r="H359" t="s">
        <v>41</v>
      </c>
      <c r="I359" t="s">
        <v>86</v>
      </c>
      <c r="J359">
        <v>9</v>
      </c>
      <c r="K359">
        <v>605.87</v>
      </c>
      <c r="L359">
        <v>5452.83</v>
      </c>
      <c r="M359">
        <v>0</v>
      </c>
      <c r="N359">
        <v>1163.1500000000001</v>
      </c>
      <c r="O359" t="s">
        <v>37</v>
      </c>
    </row>
    <row r="360" spans="1:15" x14ac:dyDescent="0.2">
      <c r="A360" t="s">
        <v>442</v>
      </c>
      <c r="B360" s="1">
        <v>45787</v>
      </c>
      <c r="C360" t="s">
        <v>16</v>
      </c>
      <c r="D360" t="s">
        <v>238</v>
      </c>
      <c r="E360" t="s">
        <v>143</v>
      </c>
      <c r="F360" t="s">
        <v>35</v>
      </c>
      <c r="G360" t="s">
        <v>36</v>
      </c>
      <c r="H360" t="s">
        <v>47</v>
      </c>
      <c r="I360" t="s">
        <v>58</v>
      </c>
      <c r="J360">
        <v>6</v>
      </c>
      <c r="K360">
        <v>647.35</v>
      </c>
      <c r="L360">
        <v>3884.1</v>
      </c>
      <c r="M360">
        <v>0.05</v>
      </c>
      <c r="N360">
        <v>383.69</v>
      </c>
      <c r="O360" t="s">
        <v>30</v>
      </c>
    </row>
    <row r="361" spans="1:15" x14ac:dyDescent="0.2">
      <c r="A361" t="s">
        <v>443</v>
      </c>
      <c r="B361" s="1">
        <v>45566</v>
      </c>
      <c r="C361" t="s">
        <v>32</v>
      </c>
      <c r="D361" t="s">
        <v>238</v>
      </c>
      <c r="E361" t="s">
        <v>143</v>
      </c>
      <c r="F361" t="s">
        <v>35</v>
      </c>
      <c r="G361" t="s">
        <v>36</v>
      </c>
      <c r="H361" t="s">
        <v>21</v>
      </c>
      <c r="I361" t="s">
        <v>52</v>
      </c>
      <c r="J361">
        <v>3</v>
      </c>
      <c r="K361">
        <v>542.48</v>
      </c>
      <c r="L361">
        <v>1627.44</v>
      </c>
      <c r="M361">
        <v>0</v>
      </c>
      <c r="N361">
        <v>150.35</v>
      </c>
      <c r="O361" t="s">
        <v>23</v>
      </c>
    </row>
    <row r="362" spans="1:15" x14ac:dyDescent="0.2">
      <c r="A362" t="s">
        <v>444</v>
      </c>
      <c r="B362" s="1">
        <v>45584</v>
      </c>
      <c r="C362" t="s">
        <v>32</v>
      </c>
      <c r="D362" t="s">
        <v>76</v>
      </c>
      <c r="E362" t="s">
        <v>18</v>
      </c>
      <c r="F362" t="s">
        <v>19</v>
      </c>
      <c r="G362" t="s">
        <v>36</v>
      </c>
      <c r="H362" t="s">
        <v>21</v>
      </c>
      <c r="I362" t="s">
        <v>22</v>
      </c>
      <c r="J362">
        <v>2</v>
      </c>
      <c r="K362">
        <v>976.71</v>
      </c>
      <c r="L362">
        <v>1953.42</v>
      </c>
      <c r="M362">
        <v>0.2</v>
      </c>
      <c r="N362">
        <v>92.16</v>
      </c>
      <c r="O362" t="s">
        <v>23</v>
      </c>
    </row>
    <row r="363" spans="1:15" x14ac:dyDescent="0.2">
      <c r="A363" t="s">
        <v>445</v>
      </c>
      <c r="B363" s="1">
        <v>45730</v>
      </c>
      <c r="C363" t="s">
        <v>25</v>
      </c>
      <c r="D363" t="s">
        <v>104</v>
      </c>
      <c r="E363" t="s">
        <v>72</v>
      </c>
      <c r="F363" t="s">
        <v>28</v>
      </c>
      <c r="G363" t="s">
        <v>36</v>
      </c>
      <c r="H363" t="s">
        <v>47</v>
      </c>
      <c r="I363" t="s">
        <v>77</v>
      </c>
      <c r="J363">
        <v>5</v>
      </c>
      <c r="K363">
        <v>958.82</v>
      </c>
      <c r="L363">
        <v>4794.1000000000004</v>
      </c>
      <c r="M363">
        <v>0.2</v>
      </c>
      <c r="N363">
        <v>341.25</v>
      </c>
      <c r="O363" t="s">
        <v>23</v>
      </c>
    </row>
    <row r="364" spans="1:15" x14ac:dyDescent="0.2">
      <c r="A364" t="s">
        <v>446</v>
      </c>
      <c r="B364" s="1">
        <v>45565</v>
      </c>
      <c r="C364" t="s">
        <v>25</v>
      </c>
      <c r="D364" t="s">
        <v>45</v>
      </c>
      <c r="E364" t="s">
        <v>46</v>
      </c>
      <c r="F364" t="s">
        <v>35</v>
      </c>
      <c r="G364" t="s">
        <v>57</v>
      </c>
      <c r="H364" t="s">
        <v>47</v>
      </c>
      <c r="I364" t="s">
        <v>48</v>
      </c>
      <c r="J364">
        <v>9</v>
      </c>
      <c r="K364">
        <v>807.88</v>
      </c>
      <c r="L364">
        <v>7270.92</v>
      </c>
      <c r="M364">
        <v>0.05</v>
      </c>
      <c r="N364">
        <v>378.09</v>
      </c>
      <c r="O364" t="s">
        <v>30</v>
      </c>
    </row>
    <row r="365" spans="1:15" x14ac:dyDescent="0.2">
      <c r="A365" t="s">
        <v>447</v>
      </c>
      <c r="B365" s="1">
        <v>45791</v>
      </c>
      <c r="C365" t="s">
        <v>39</v>
      </c>
      <c r="D365" t="s">
        <v>104</v>
      </c>
      <c r="E365" t="s">
        <v>72</v>
      </c>
      <c r="F365" t="s">
        <v>28</v>
      </c>
      <c r="G365" t="s">
        <v>20</v>
      </c>
      <c r="H365" t="s">
        <v>47</v>
      </c>
      <c r="I365" t="s">
        <v>58</v>
      </c>
      <c r="J365">
        <v>2</v>
      </c>
      <c r="K365">
        <v>885.43</v>
      </c>
      <c r="L365">
        <v>1770.86</v>
      </c>
      <c r="M365">
        <v>0</v>
      </c>
      <c r="N365">
        <v>426</v>
      </c>
      <c r="O365" t="s">
        <v>49</v>
      </c>
    </row>
    <row r="366" spans="1:15" x14ac:dyDescent="0.2">
      <c r="A366" t="s">
        <v>448</v>
      </c>
      <c r="B366" s="1">
        <v>45663</v>
      </c>
      <c r="C366" t="s">
        <v>44</v>
      </c>
      <c r="D366" t="s">
        <v>76</v>
      </c>
      <c r="E366" t="s">
        <v>18</v>
      </c>
      <c r="F366" t="s">
        <v>19</v>
      </c>
      <c r="G366" t="s">
        <v>20</v>
      </c>
      <c r="H366" t="s">
        <v>41</v>
      </c>
      <c r="I366" t="s">
        <v>63</v>
      </c>
      <c r="J366">
        <v>8</v>
      </c>
      <c r="K366">
        <v>785.78</v>
      </c>
      <c r="L366">
        <v>6286.24</v>
      </c>
      <c r="M366">
        <v>0.1</v>
      </c>
      <c r="N366">
        <v>611.97</v>
      </c>
      <c r="O366" t="s">
        <v>23</v>
      </c>
    </row>
    <row r="367" spans="1:15" x14ac:dyDescent="0.2">
      <c r="A367" t="s">
        <v>449</v>
      </c>
      <c r="B367" s="1">
        <v>45767</v>
      </c>
      <c r="C367" t="s">
        <v>44</v>
      </c>
      <c r="D367" t="s">
        <v>107</v>
      </c>
      <c r="E367" t="s">
        <v>96</v>
      </c>
      <c r="F367" t="s">
        <v>56</v>
      </c>
      <c r="G367" t="s">
        <v>20</v>
      </c>
      <c r="H367" t="s">
        <v>47</v>
      </c>
      <c r="I367" t="s">
        <v>77</v>
      </c>
      <c r="J367">
        <v>3</v>
      </c>
      <c r="K367">
        <v>567.77</v>
      </c>
      <c r="L367">
        <v>1703.31</v>
      </c>
      <c r="M367">
        <v>0.15</v>
      </c>
      <c r="N367">
        <v>100.6</v>
      </c>
      <c r="O367" t="s">
        <v>30</v>
      </c>
    </row>
    <row r="368" spans="1:15" x14ac:dyDescent="0.2">
      <c r="A368" t="s">
        <v>450</v>
      </c>
      <c r="B368" s="1">
        <v>45630</v>
      </c>
      <c r="C368" t="s">
        <v>16</v>
      </c>
      <c r="D368" t="s">
        <v>142</v>
      </c>
      <c r="E368" t="s">
        <v>143</v>
      </c>
      <c r="F368" t="s">
        <v>35</v>
      </c>
      <c r="G368" t="s">
        <v>36</v>
      </c>
      <c r="H368" t="s">
        <v>21</v>
      </c>
      <c r="I368" t="s">
        <v>79</v>
      </c>
      <c r="J368">
        <v>6</v>
      </c>
      <c r="K368">
        <v>171.38</v>
      </c>
      <c r="L368">
        <v>1028.28</v>
      </c>
      <c r="M368">
        <v>0.1</v>
      </c>
      <c r="N368">
        <v>76.16</v>
      </c>
      <c r="O368" t="s">
        <v>49</v>
      </c>
    </row>
    <row r="369" spans="1:15" x14ac:dyDescent="0.2">
      <c r="A369" t="s">
        <v>451</v>
      </c>
      <c r="B369" s="1">
        <v>45784</v>
      </c>
      <c r="C369" t="s">
        <v>32</v>
      </c>
      <c r="D369" t="s">
        <v>33</v>
      </c>
      <c r="E369" t="s">
        <v>34</v>
      </c>
      <c r="F369" t="s">
        <v>35</v>
      </c>
      <c r="G369" t="s">
        <v>36</v>
      </c>
      <c r="H369" t="s">
        <v>66</v>
      </c>
      <c r="I369" t="s">
        <v>73</v>
      </c>
      <c r="J369">
        <v>5</v>
      </c>
      <c r="K369">
        <v>986.17</v>
      </c>
      <c r="L369">
        <v>4930.8500000000004</v>
      </c>
      <c r="M369">
        <v>0.1</v>
      </c>
      <c r="N369">
        <v>899.22</v>
      </c>
      <c r="O369" t="s">
        <v>49</v>
      </c>
    </row>
    <row r="370" spans="1:15" x14ac:dyDescent="0.2">
      <c r="A370" t="s">
        <v>452</v>
      </c>
      <c r="B370" s="1">
        <v>45715</v>
      </c>
      <c r="C370" t="s">
        <v>32</v>
      </c>
      <c r="D370" t="s">
        <v>93</v>
      </c>
      <c r="E370" t="s">
        <v>61</v>
      </c>
      <c r="F370" t="s">
        <v>19</v>
      </c>
      <c r="G370" t="s">
        <v>57</v>
      </c>
      <c r="H370" t="s">
        <v>47</v>
      </c>
      <c r="I370" t="s">
        <v>48</v>
      </c>
      <c r="J370">
        <v>7</v>
      </c>
      <c r="K370">
        <v>410.22</v>
      </c>
      <c r="L370">
        <v>2871.54</v>
      </c>
      <c r="M370">
        <v>0.2</v>
      </c>
      <c r="N370">
        <v>536.24</v>
      </c>
      <c r="O370" t="s">
        <v>23</v>
      </c>
    </row>
    <row r="371" spans="1:15" x14ac:dyDescent="0.2">
      <c r="A371" t="s">
        <v>453</v>
      </c>
      <c r="B371" s="1">
        <v>45710</v>
      </c>
      <c r="C371" t="s">
        <v>25</v>
      </c>
      <c r="D371" t="s">
        <v>238</v>
      </c>
      <c r="E371" t="s">
        <v>143</v>
      </c>
      <c r="F371" t="s">
        <v>35</v>
      </c>
      <c r="G371" t="s">
        <v>36</v>
      </c>
      <c r="H371" t="s">
        <v>41</v>
      </c>
      <c r="I371" t="s">
        <v>42</v>
      </c>
      <c r="J371">
        <v>9</v>
      </c>
      <c r="K371">
        <v>451.19</v>
      </c>
      <c r="L371">
        <v>4060.71</v>
      </c>
      <c r="M371">
        <v>0</v>
      </c>
      <c r="N371">
        <v>707.06</v>
      </c>
      <c r="O371" t="s">
        <v>49</v>
      </c>
    </row>
    <row r="372" spans="1:15" x14ac:dyDescent="0.2">
      <c r="A372" t="s">
        <v>454</v>
      </c>
      <c r="B372" s="1">
        <v>45788</v>
      </c>
      <c r="C372" t="s">
        <v>25</v>
      </c>
      <c r="D372" t="s">
        <v>154</v>
      </c>
      <c r="E372" t="s">
        <v>120</v>
      </c>
      <c r="F372" t="s">
        <v>28</v>
      </c>
      <c r="G372" t="s">
        <v>57</v>
      </c>
      <c r="H372" t="s">
        <v>21</v>
      </c>
      <c r="I372" t="s">
        <v>79</v>
      </c>
      <c r="J372">
        <v>10</v>
      </c>
      <c r="K372">
        <v>400.48</v>
      </c>
      <c r="L372">
        <v>4004.8</v>
      </c>
      <c r="M372">
        <v>0</v>
      </c>
      <c r="N372">
        <v>378.9</v>
      </c>
      <c r="O372" t="s">
        <v>37</v>
      </c>
    </row>
    <row r="373" spans="1:15" x14ac:dyDescent="0.2">
      <c r="A373" t="s">
        <v>455</v>
      </c>
      <c r="B373" s="1">
        <v>45582</v>
      </c>
      <c r="C373" t="s">
        <v>16</v>
      </c>
      <c r="D373" t="s">
        <v>71</v>
      </c>
      <c r="E373" t="s">
        <v>72</v>
      </c>
      <c r="F373" t="s">
        <v>28</v>
      </c>
      <c r="G373" t="s">
        <v>20</v>
      </c>
      <c r="H373" t="s">
        <v>47</v>
      </c>
      <c r="I373" t="s">
        <v>48</v>
      </c>
      <c r="J373">
        <v>2</v>
      </c>
      <c r="K373">
        <v>87.65</v>
      </c>
      <c r="L373">
        <v>175.3</v>
      </c>
      <c r="M373">
        <v>0</v>
      </c>
      <c r="N373">
        <v>40.93</v>
      </c>
      <c r="O373" t="s">
        <v>49</v>
      </c>
    </row>
    <row r="374" spans="1:15" x14ac:dyDescent="0.2">
      <c r="A374" t="s">
        <v>456</v>
      </c>
      <c r="B374" s="1">
        <v>45490</v>
      </c>
      <c r="C374" t="s">
        <v>32</v>
      </c>
      <c r="D374" t="s">
        <v>90</v>
      </c>
      <c r="E374" t="s">
        <v>91</v>
      </c>
      <c r="F374" t="s">
        <v>19</v>
      </c>
      <c r="G374" t="s">
        <v>57</v>
      </c>
      <c r="H374" t="s">
        <v>47</v>
      </c>
      <c r="I374" t="s">
        <v>58</v>
      </c>
      <c r="J374">
        <v>10</v>
      </c>
      <c r="K374">
        <v>487.32</v>
      </c>
      <c r="L374">
        <v>4873.2</v>
      </c>
      <c r="M374">
        <v>0.15</v>
      </c>
      <c r="N374">
        <v>301.82</v>
      </c>
      <c r="O374" t="s">
        <v>23</v>
      </c>
    </row>
    <row r="375" spans="1:15" x14ac:dyDescent="0.2">
      <c r="A375" t="s">
        <v>457</v>
      </c>
      <c r="B375" s="1">
        <v>45779</v>
      </c>
      <c r="C375" t="s">
        <v>39</v>
      </c>
      <c r="D375" t="s">
        <v>113</v>
      </c>
      <c r="E375" t="s">
        <v>91</v>
      </c>
      <c r="F375" t="s">
        <v>19</v>
      </c>
      <c r="G375" t="s">
        <v>57</v>
      </c>
      <c r="H375" t="s">
        <v>47</v>
      </c>
      <c r="I375" t="s">
        <v>77</v>
      </c>
      <c r="J375">
        <v>10</v>
      </c>
      <c r="K375">
        <v>774.66</v>
      </c>
      <c r="L375">
        <v>7746.6</v>
      </c>
      <c r="M375">
        <v>0</v>
      </c>
      <c r="N375">
        <v>1838.21</v>
      </c>
      <c r="O375" t="s">
        <v>30</v>
      </c>
    </row>
    <row r="376" spans="1:15" x14ac:dyDescent="0.2">
      <c r="A376" t="s">
        <v>458</v>
      </c>
      <c r="B376" s="1">
        <v>45604</v>
      </c>
      <c r="C376" t="s">
        <v>39</v>
      </c>
      <c r="D376" t="s">
        <v>107</v>
      </c>
      <c r="E376" t="s">
        <v>96</v>
      </c>
      <c r="F376" t="s">
        <v>56</v>
      </c>
      <c r="G376" t="s">
        <v>36</v>
      </c>
      <c r="H376" t="s">
        <v>66</v>
      </c>
      <c r="I376" t="s">
        <v>67</v>
      </c>
      <c r="J376">
        <v>5</v>
      </c>
      <c r="K376">
        <v>253.57</v>
      </c>
      <c r="L376">
        <v>1267.8499999999999</v>
      </c>
      <c r="M376">
        <v>0.05</v>
      </c>
      <c r="N376">
        <v>80.36</v>
      </c>
      <c r="O376" t="s">
        <v>49</v>
      </c>
    </row>
    <row r="377" spans="1:15" x14ac:dyDescent="0.2">
      <c r="A377" t="s">
        <v>459</v>
      </c>
      <c r="B377" s="1">
        <v>45763</v>
      </c>
      <c r="C377" t="s">
        <v>16</v>
      </c>
      <c r="D377" t="s">
        <v>95</v>
      </c>
      <c r="E377" t="s">
        <v>96</v>
      </c>
      <c r="F377" t="s">
        <v>56</v>
      </c>
      <c r="G377" t="s">
        <v>57</v>
      </c>
      <c r="H377" t="s">
        <v>21</v>
      </c>
      <c r="I377" t="s">
        <v>22</v>
      </c>
      <c r="J377">
        <v>5</v>
      </c>
      <c r="K377">
        <v>185.71</v>
      </c>
      <c r="L377">
        <v>928.55</v>
      </c>
      <c r="M377">
        <v>0</v>
      </c>
      <c r="N377">
        <v>63.59</v>
      </c>
      <c r="O377" t="s">
        <v>37</v>
      </c>
    </row>
    <row r="378" spans="1:15" x14ac:dyDescent="0.2">
      <c r="A378" t="s">
        <v>460</v>
      </c>
      <c r="B378" s="1">
        <v>45548</v>
      </c>
      <c r="C378" t="s">
        <v>25</v>
      </c>
      <c r="D378" t="s">
        <v>45</v>
      </c>
      <c r="E378" t="s">
        <v>46</v>
      </c>
      <c r="F378" t="s">
        <v>35</v>
      </c>
      <c r="G378" t="s">
        <v>57</v>
      </c>
      <c r="H378" t="s">
        <v>47</v>
      </c>
      <c r="I378" t="s">
        <v>58</v>
      </c>
      <c r="J378">
        <v>8</v>
      </c>
      <c r="K378">
        <v>536.44000000000005</v>
      </c>
      <c r="L378">
        <v>4291.5200000000004</v>
      </c>
      <c r="M378">
        <v>0.05</v>
      </c>
      <c r="N378">
        <v>991.18</v>
      </c>
      <c r="O378" t="s">
        <v>49</v>
      </c>
    </row>
    <row r="379" spans="1:15" x14ac:dyDescent="0.2">
      <c r="A379" t="s">
        <v>461</v>
      </c>
      <c r="B379" s="1">
        <v>45649</v>
      </c>
      <c r="C379" t="s">
        <v>32</v>
      </c>
      <c r="D379" t="s">
        <v>107</v>
      </c>
      <c r="E379" t="s">
        <v>96</v>
      </c>
      <c r="F379" t="s">
        <v>56</v>
      </c>
      <c r="G379" t="s">
        <v>20</v>
      </c>
      <c r="H379" t="s">
        <v>47</v>
      </c>
      <c r="I379" t="s">
        <v>58</v>
      </c>
      <c r="J379">
        <v>6</v>
      </c>
      <c r="K379">
        <v>664.73</v>
      </c>
      <c r="L379">
        <v>3988.38</v>
      </c>
      <c r="M379">
        <v>0.1</v>
      </c>
      <c r="N379">
        <v>189.66</v>
      </c>
      <c r="O379" t="s">
        <v>37</v>
      </c>
    </row>
    <row r="380" spans="1:15" x14ac:dyDescent="0.2">
      <c r="A380" t="s">
        <v>462</v>
      </c>
      <c r="B380" s="1">
        <v>45475</v>
      </c>
      <c r="C380" t="s">
        <v>16</v>
      </c>
      <c r="D380" t="s">
        <v>130</v>
      </c>
      <c r="E380" t="s">
        <v>101</v>
      </c>
      <c r="F380" t="s">
        <v>56</v>
      </c>
      <c r="G380" t="s">
        <v>57</v>
      </c>
      <c r="H380" t="s">
        <v>47</v>
      </c>
      <c r="I380" t="s">
        <v>77</v>
      </c>
      <c r="J380">
        <v>8</v>
      </c>
      <c r="K380">
        <v>943.44</v>
      </c>
      <c r="L380">
        <v>7547.52</v>
      </c>
      <c r="M380">
        <v>0.05</v>
      </c>
      <c r="N380">
        <v>1268.0999999999999</v>
      </c>
      <c r="O380" t="s">
        <v>30</v>
      </c>
    </row>
    <row r="381" spans="1:15" x14ac:dyDescent="0.2">
      <c r="A381" t="s">
        <v>463</v>
      </c>
      <c r="B381" s="1">
        <v>45553</v>
      </c>
      <c r="C381" t="s">
        <v>16</v>
      </c>
      <c r="D381" t="s">
        <v>76</v>
      </c>
      <c r="E381" t="s">
        <v>18</v>
      </c>
      <c r="F381" t="s">
        <v>19</v>
      </c>
      <c r="G381" t="s">
        <v>20</v>
      </c>
      <c r="H381" t="s">
        <v>21</v>
      </c>
      <c r="I381" t="s">
        <v>52</v>
      </c>
      <c r="J381">
        <v>10</v>
      </c>
      <c r="K381">
        <v>378.8</v>
      </c>
      <c r="L381">
        <v>3788</v>
      </c>
      <c r="M381">
        <v>0.1</v>
      </c>
      <c r="N381">
        <v>313.48</v>
      </c>
      <c r="O381" t="s">
        <v>37</v>
      </c>
    </row>
    <row r="382" spans="1:15" x14ac:dyDescent="0.2">
      <c r="A382" t="s">
        <v>464</v>
      </c>
      <c r="B382" s="1">
        <v>45506</v>
      </c>
      <c r="C382" t="s">
        <v>32</v>
      </c>
      <c r="D382" t="s">
        <v>71</v>
      </c>
      <c r="E382" t="s">
        <v>72</v>
      </c>
      <c r="F382" t="s">
        <v>28</v>
      </c>
      <c r="G382" t="s">
        <v>57</v>
      </c>
      <c r="H382" t="s">
        <v>41</v>
      </c>
      <c r="I382" t="s">
        <v>86</v>
      </c>
      <c r="J382">
        <v>9</v>
      </c>
      <c r="K382">
        <v>819.41</v>
      </c>
      <c r="L382">
        <v>7374.69</v>
      </c>
      <c r="M382">
        <v>0</v>
      </c>
      <c r="N382">
        <v>1400.18</v>
      </c>
      <c r="O382" t="s">
        <v>23</v>
      </c>
    </row>
    <row r="383" spans="1:15" x14ac:dyDescent="0.2">
      <c r="A383" t="s">
        <v>465</v>
      </c>
      <c r="B383" s="1">
        <v>45665</v>
      </c>
      <c r="C383" t="s">
        <v>44</v>
      </c>
      <c r="D383" t="s">
        <v>100</v>
      </c>
      <c r="E383" t="s">
        <v>101</v>
      </c>
      <c r="F383" t="s">
        <v>56</v>
      </c>
      <c r="G383" t="s">
        <v>57</v>
      </c>
      <c r="H383" t="s">
        <v>47</v>
      </c>
      <c r="I383" t="s">
        <v>58</v>
      </c>
      <c r="J383">
        <v>2</v>
      </c>
      <c r="K383">
        <v>926.5</v>
      </c>
      <c r="L383">
        <v>1853</v>
      </c>
      <c r="M383">
        <v>0.15</v>
      </c>
      <c r="N383">
        <v>213.7</v>
      </c>
      <c r="O383" t="s">
        <v>23</v>
      </c>
    </row>
    <row r="384" spans="1:15" x14ac:dyDescent="0.2">
      <c r="A384" t="s">
        <v>466</v>
      </c>
      <c r="B384" s="1">
        <v>45600</v>
      </c>
      <c r="C384" t="s">
        <v>16</v>
      </c>
      <c r="D384" t="s">
        <v>17</v>
      </c>
      <c r="E384" t="s">
        <v>18</v>
      </c>
      <c r="F384" t="s">
        <v>19</v>
      </c>
      <c r="G384" t="s">
        <v>57</v>
      </c>
      <c r="H384" t="s">
        <v>41</v>
      </c>
      <c r="I384" t="s">
        <v>86</v>
      </c>
      <c r="J384">
        <v>5</v>
      </c>
      <c r="K384">
        <v>702.69</v>
      </c>
      <c r="L384">
        <v>3513.45</v>
      </c>
      <c r="M384">
        <v>0</v>
      </c>
      <c r="N384">
        <v>875.1</v>
      </c>
      <c r="O384" t="s">
        <v>49</v>
      </c>
    </row>
    <row r="385" spans="1:15" x14ac:dyDescent="0.2">
      <c r="A385" t="s">
        <v>467</v>
      </c>
      <c r="B385" s="1">
        <v>45641</v>
      </c>
      <c r="C385" t="s">
        <v>32</v>
      </c>
      <c r="D385" t="s">
        <v>26</v>
      </c>
      <c r="E385" t="s">
        <v>27</v>
      </c>
      <c r="F385" t="s">
        <v>28</v>
      </c>
      <c r="G385" t="s">
        <v>57</v>
      </c>
      <c r="H385" t="s">
        <v>21</v>
      </c>
      <c r="I385" t="s">
        <v>52</v>
      </c>
      <c r="J385">
        <v>8</v>
      </c>
      <c r="K385">
        <v>504.35</v>
      </c>
      <c r="L385">
        <v>4034.8</v>
      </c>
      <c r="M385">
        <v>0</v>
      </c>
      <c r="N385">
        <v>740.56</v>
      </c>
      <c r="O385" t="s">
        <v>30</v>
      </c>
    </row>
    <row r="386" spans="1:15" x14ac:dyDescent="0.2">
      <c r="A386" t="s">
        <v>468</v>
      </c>
      <c r="B386" s="1">
        <v>45627</v>
      </c>
      <c r="C386" t="s">
        <v>32</v>
      </c>
      <c r="D386" t="s">
        <v>90</v>
      </c>
      <c r="E386" t="s">
        <v>91</v>
      </c>
      <c r="F386" t="s">
        <v>19</v>
      </c>
      <c r="G386" t="s">
        <v>36</v>
      </c>
      <c r="H386" t="s">
        <v>47</v>
      </c>
      <c r="I386" t="s">
        <v>77</v>
      </c>
      <c r="J386">
        <v>2</v>
      </c>
      <c r="K386">
        <v>351.91</v>
      </c>
      <c r="L386">
        <v>703.82</v>
      </c>
      <c r="M386">
        <v>0.15</v>
      </c>
      <c r="N386">
        <v>79.319999999999993</v>
      </c>
      <c r="O386" t="s">
        <v>49</v>
      </c>
    </row>
    <row r="387" spans="1:15" x14ac:dyDescent="0.2">
      <c r="A387" t="s">
        <v>469</v>
      </c>
      <c r="B387" s="1">
        <v>45690</v>
      </c>
      <c r="C387" t="s">
        <v>25</v>
      </c>
      <c r="D387" t="s">
        <v>51</v>
      </c>
      <c r="E387" t="s">
        <v>46</v>
      </c>
      <c r="F387" t="s">
        <v>35</v>
      </c>
      <c r="G387" t="s">
        <v>20</v>
      </c>
      <c r="H387" t="s">
        <v>47</v>
      </c>
      <c r="I387" t="s">
        <v>77</v>
      </c>
      <c r="J387">
        <v>5</v>
      </c>
      <c r="K387">
        <v>838.81</v>
      </c>
      <c r="L387">
        <v>4194.05</v>
      </c>
      <c r="M387">
        <v>0.15</v>
      </c>
      <c r="N387">
        <v>658.3</v>
      </c>
      <c r="O387" t="s">
        <v>23</v>
      </c>
    </row>
    <row r="388" spans="1:15" x14ac:dyDescent="0.2">
      <c r="A388" t="s">
        <v>470</v>
      </c>
      <c r="B388" s="1">
        <v>45540</v>
      </c>
      <c r="C388" t="s">
        <v>39</v>
      </c>
      <c r="D388" t="s">
        <v>154</v>
      </c>
      <c r="E388" t="s">
        <v>120</v>
      </c>
      <c r="F388" t="s">
        <v>28</v>
      </c>
      <c r="G388" t="s">
        <v>57</v>
      </c>
      <c r="H388" t="s">
        <v>21</v>
      </c>
      <c r="I388" t="s">
        <v>29</v>
      </c>
      <c r="J388">
        <v>6</v>
      </c>
      <c r="K388">
        <v>172.07</v>
      </c>
      <c r="L388">
        <v>1032.42</v>
      </c>
      <c r="M388">
        <v>0.2</v>
      </c>
      <c r="N388">
        <v>205.3</v>
      </c>
      <c r="O388" t="s">
        <v>23</v>
      </c>
    </row>
    <row r="389" spans="1:15" x14ac:dyDescent="0.2">
      <c r="A389" t="s">
        <v>471</v>
      </c>
      <c r="B389" s="1">
        <v>45816</v>
      </c>
      <c r="C389" t="s">
        <v>32</v>
      </c>
      <c r="D389" t="s">
        <v>95</v>
      </c>
      <c r="E389" t="s">
        <v>96</v>
      </c>
      <c r="F389" t="s">
        <v>56</v>
      </c>
      <c r="G389" t="s">
        <v>20</v>
      </c>
      <c r="H389" t="s">
        <v>41</v>
      </c>
      <c r="I389" t="s">
        <v>86</v>
      </c>
      <c r="J389">
        <v>3</v>
      </c>
      <c r="K389">
        <v>939.51</v>
      </c>
      <c r="L389">
        <v>2818.53</v>
      </c>
      <c r="M389">
        <v>0.15</v>
      </c>
      <c r="N389">
        <v>588.09</v>
      </c>
      <c r="O389" t="s">
        <v>49</v>
      </c>
    </row>
    <row r="390" spans="1:15" x14ac:dyDescent="0.2">
      <c r="A390" t="s">
        <v>472</v>
      </c>
      <c r="B390" s="1">
        <v>45782</v>
      </c>
      <c r="C390" t="s">
        <v>16</v>
      </c>
      <c r="D390" t="s">
        <v>142</v>
      </c>
      <c r="E390" t="s">
        <v>143</v>
      </c>
      <c r="F390" t="s">
        <v>35</v>
      </c>
      <c r="G390" t="s">
        <v>36</v>
      </c>
      <c r="H390" t="s">
        <v>41</v>
      </c>
      <c r="I390" t="s">
        <v>42</v>
      </c>
      <c r="J390">
        <v>3</v>
      </c>
      <c r="K390">
        <v>505.25</v>
      </c>
      <c r="L390">
        <v>1515.75</v>
      </c>
      <c r="M390">
        <v>0.2</v>
      </c>
      <c r="N390">
        <v>250.83</v>
      </c>
      <c r="O390" t="s">
        <v>30</v>
      </c>
    </row>
    <row r="391" spans="1:15" x14ac:dyDescent="0.2">
      <c r="A391" t="s">
        <v>473</v>
      </c>
      <c r="B391" s="1">
        <v>45610</v>
      </c>
      <c r="C391" t="s">
        <v>32</v>
      </c>
      <c r="D391" t="s">
        <v>113</v>
      </c>
      <c r="E391" t="s">
        <v>91</v>
      </c>
      <c r="F391" t="s">
        <v>19</v>
      </c>
      <c r="G391" t="s">
        <v>36</v>
      </c>
      <c r="H391" t="s">
        <v>66</v>
      </c>
      <c r="I391" t="s">
        <v>73</v>
      </c>
      <c r="J391">
        <v>7</v>
      </c>
      <c r="K391">
        <v>13.52</v>
      </c>
      <c r="L391">
        <v>94.64</v>
      </c>
      <c r="M391">
        <v>0.2</v>
      </c>
      <c r="N391">
        <v>6.1</v>
      </c>
      <c r="O391" t="s">
        <v>30</v>
      </c>
    </row>
    <row r="392" spans="1:15" x14ac:dyDescent="0.2">
      <c r="A392" t="s">
        <v>474</v>
      </c>
      <c r="B392" s="1">
        <v>45480</v>
      </c>
      <c r="C392" t="s">
        <v>16</v>
      </c>
      <c r="D392" t="s">
        <v>69</v>
      </c>
      <c r="E392" t="s">
        <v>27</v>
      </c>
      <c r="F392" t="s">
        <v>28</v>
      </c>
      <c r="G392" t="s">
        <v>20</v>
      </c>
      <c r="H392" t="s">
        <v>21</v>
      </c>
      <c r="I392" t="s">
        <v>29</v>
      </c>
      <c r="J392">
        <v>3</v>
      </c>
      <c r="K392">
        <v>241.24</v>
      </c>
      <c r="L392">
        <v>723.72</v>
      </c>
      <c r="M392">
        <v>0.05</v>
      </c>
      <c r="N392">
        <v>75.209999999999994</v>
      </c>
      <c r="O392" t="s">
        <v>23</v>
      </c>
    </row>
    <row r="393" spans="1:15" x14ac:dyDescent="0.2">
      <c r="A393" s="2" t="s">
        <v>475</v>
      </c>
      <c r="B393" s="1">
        <v>45634</v>
      </c>
      <c r="C393" t="s">
        <v>25</v>
      </c>
      <c r="D393" t="s">
        <v>130</v>
      </c>
      <c r="E393" t="s">
        <v>101</v>
      </c>
      <c r="F393" t="s">
        <v>56</v>
      </c>
      <c r="G393" t="s">
        <v>36</v>
      </c>
      <c r="H393" t="s">
        <v>41</v>
      </c>
      <c r="I393" t="s">
        <v>86</v>
      </c>
      <c r="J393">
        <v>1</v>
      </c>
      <c r="K393">
        <v>639.11</v>
      </c>
      <c r="L393">
        <v>639.11</v>
      </c>
      <c r="M393">
        <v>0.2</v>
      </c>
      <c r="N393">
        <v>114.22</v>
      </c>
      <c r="O393" t="s">
        <v>37</v>
      </c>
    </row>
    <row r="394" spans="1:15" x14ac:dyDescent="0.2">
      <c r="A394" t="s">
        <v>476</v>
      </c>
      <c r="B394" s="1">
        <v>45469</v>
      </c>
      <c r="C394" t="s">
        <v>25</v>
      </c>
      <c r="D394" t="s">
        <v>154</v>
      </c>
      <c r="E394" t="s">
        <v>120</v>
      </c>
      <c r="F394" t="s">
        <v>28</v>
      </c>
      <c r="G394" t="s">
        <v>57</v>
      </c>
      <c r="H394" t="s">
        <v>21</v>
      </c>
      <c r="I394" t="s">
        <v>29</v>
      </c>
      <c r="J394">
        <v>2</v>
      </c>
      <c r="K394">
        <v>79.23</v>
      </c>
      <c r="L394">
        <v>158.46</v>
      </c>
      <c r="M394">
        <v>0.1</v>
      </c>
      <c r="N394">
        <v>33.159999999999997</v>
      </c>
      <c r="O394" t="s">
        <v>37</v>
      </c>
    </row>
    <row r="395" spans="1:15" x14ac:dyDescent="0.2">
      <c r="A395" t="s">
        <v>477</v>
      </c>
      <c r="B395" s="1">
        <v>45572</v>
      </c>
      <c r="C395" t="s">
        <v>16</v>
      </c>
      <c r="D395" t="s">
        <v>104</v>
      </c>
      <c r="E395" t="s">
        <v>72</v>
      </c>
      <c r="F395" t="s">
        <v>28</v>
      </c>
      <c r="G395" t="s">
        <v>36</v>
      </c>
      <c r="H395" t="s">
        <v>41</v>
      </c>
      <c r="I395" t="s">
        <v>42</v>
      </c>
      <c r="J395">
        <v>2</v>
      </c>
      <c r="K395">
        <v>211.88</v>
      </c>
      <c r="L395">
        <v>423.76</v>
      </c>
      <c r="M395">
        <v>0.15</v>
      </c>
      <c r="N395">
        <v>45.04</v>
      </c>
      <c r="O395" t="s">
        <v>49</v>
      </c>
    </row>
    <row r="396" spans="1:15" x14ac:dyDescent="0.2">
      <c r="A396" t="s">
        <v>478</v>
      </c>
      <c r="B396" s="1">
        <v>45546</v>
      </c>
      <c r="C396" t="s">
        <v>25</v>
      </c>
      <c r="D396" t="s">
        <v>107</v>
      </c>
      <c r="E396" t="s">
        <v>96</v>
      </c>
      <c r="F396" t="s">
        <v>56</v>
      </c>
      <c r="G396" t="s">
        <v>36</v>
      </c>
      <c r="H396" t="s">
        <v>66</v>
      </c>
      <c r="I396" t="s">
        <v>73</v>
      </c>
      <c r="J396">
        <v>10</v>
      </c>
      <c r="K396">
        <v>631.95000000000005</v>
      </c>
      <c r="L396">
        <v>6319.5</v>
      </c>
      <c r="M396">
        <v>0</v>
      </c>
      <c r="N396">
        <v>464.11</v>
      </c>
      <c r="O396" t="s">
        <v>37</v>
      </c>
    </row>
    <row r="397" spans="1:15" x14ac:dyDescent="0.2">
      <c r="A397" t="s">
        <v>479</v>
      </c>
      <c r="B397" s="1">
        <v>45785</v>
      </c>
      <c r="C397" t="s">
        <v>39</v>
      </c>
      <c r="D397" t="s">
        <v>54</v>
      </c>
      <c r="E397" t="s">
        <v>55</v>
      </c>
      <c r="F397" t="s">
        <v>56</v>
      </c>
      <c r="G397" t="s">
        <v>20</v>
      </c>
      <c r="H397" t="s">
        <v>66</v>
      </c>
      <c r="I397" t="s">
        <v>67</v>
      </c>
      <c r="J397">
        <v>2</v>
      </c>
      <c r="K397">
        <v>194.46</v>
      </c>
      <c r="L397">
        <v>388.92</v>
      </c>
      <c r="M397">
        <v>0</v>
      </c>
      <c r="N397">
        <v>61.13</v>
      </c>
      <c r="O397" t="s">
        <v>23</v>
      </c>
    </row>
    <row r="398" spans="1:15" x14ac:dyDescent="0.2">
      <c r="A398" t="s">
        <v>480</v>
      </c>
      <c r="B398" s="1">
        <v>45525</v>
      </c>
      <c r="C398" t="s">
        <v>32</v>
      </c>
      <c r="D398" t="s">
        <v>45</v>
      </c>
      <c r="E398" t="s">
        <v>46</v>
      </c>
      <c r="F398" t="s">
        <v>35</v>
      </c>
      <c r="G398" t="s">
        <v>57</v>
      </c>
      <c r="H398" t="s">
        <v>41</v>
      </c>
      <c r="I398" t="s">
        <v>63</v>
      </c>
      <c r="J398">
        <v>4</v>
      </c>
      <c r="K398">
        <v>85.28</v>
      </c>
      <c r="L398">
        <v>341.12</v>
      </c>
      <c r="M398">
        <v>0.05</v>
      </c>
      <c r="N398">
        <v>33.549999999999997</v>
      </c>
      <c r="O398" t="s">
        <v>37</v>
      </c>
    </row>
    <row r="399" spans="1:15" x14ac:dyDescent="0.2">
      <c r="A399" s="2" t="s">
        <v>481</v>
      </c>
      <c r="B399" s="1">
        <v>45651</v>
      </c>
      <c r="C399" t="s">
        <v>16</v>
      </c>
      <c r="D399" t="s">
        <v>71</v>
      </c>
      <c r="E399" t="s">
        <v>72</v>
      </c>
      <c r="F399" t="s">
        <v>28</v>
      </c>
      <c r="G399" t="s">
        <v>20</v>
      </c>
      <c r="H399" t="s">
        <v>47</v>
      </c>
      <c r="I399" t="s">
        <v>77</v>
      </c>
      <c r="J399">
        <v>7</v>
      </c>
      <c r="K399">
        <v>513.63</v>
      </c>
      <c r="L399">
        <v>3595.41</v>
      </c>
      <c r="M399">
        <v>0.15</v>
      </c>
      <c r="N399">
        <v>716.56</v>
      </c>
      <c r="O399" t="s">
        <v>49</v>
      </c>
    </row>
    <row r="400" spans="1:15" x14ac:dyDescent="0.2">
      <c r="A400" t="s">
        <v>482</v>
      </c>
      <c r="B400" s="1">
        <v>45809</v>
      </c>
      <c r="C400" t="s">
        <v>16</v>
      </c>
      <c r="D400" t="s">
        <v>17</v>
      </c>
      <c r="E400" t="s">
        <v>18</v>
      </c>
      <c r="F400" t="s">
        <v>19</v>
      </c>
      <c r="G400" t="s">
        <v>36</v>
      </c>
      <c r="H400" t="s">
        <v>66</v>
      </c>
      <c r="I400" t="s">
        <v>81</v>
      </c>
      <c r="J400">
        <v>3</v>
      </c>
      <c r="K400">
        <v>794.51</v>
      </c>
      <c r="L400">
        <v>2383.5300000000002</v>
      </c>
      <c r="M400">
        <v>0.15</v>
      </c>
      <c r="N400">
        <v>276.94</v>
      </c>
      <c r="O400" t="s">
        <v>23</v>
      </c>
    </row>
    <row r="401" spans="1:15" x14ac:dyDescent="0.2">
      <c r="A401" t="s">
        <v>483</v>
      </c>
      <c r="B401" s="1">
        <v>45645</v>
      </c>
      <c r="C401" t="s">
        <v>44</v>
      </c>
      <c r="D401" t="s">
        <v>33</v>
      </c>
      <c r="E401" t="s">
        <v>34</v>
      </c>
      <c r="F401" t="s">
        <v>35</v>
      </c>
      <c r="G401" t="s">
        <v>57</v>
      </c>
      <c r="H401" t="s">
        <v>47</v>
      </c>
      <c r="I401" t="s">
        <v>58</v>
      </c>
      <c r="J401">
        <v>4</v>
      </c>
      <c r="K401">
        <v>568.01</v>
      </c>
      <c r="L401">
        <v>2272.04</v>
      </c>
      <c r="M401">
        <v>0.1</v>
      </c>
      <c r="N401">
        <v>469.45</v>
      </c>
      <c r="O401" t="s">
        <v>49</v>
      </c>
    </row>
    <row r="402" spans="1:15" x14ac:dyDescent="0.2">
      <c r="A402" t="s">
        <v>484</v>
      </c>
      <c r="B402" s="1">
        <v>45466</v>
      </c>
      <c r="C402" t="s">
        <v>44</v>
      </c>
      <c r="D402" t="s">
        <v>93</v>
      </c>
      <c r="E402" t="s">
        <v>61</v>
      </c>
      <c r="F402" t="s">
        <v>19</v>
      </c>
      <c r="G402" t="s">
        <v>57</v>
      </c>
      <c r="H402" t="s">
        <v>21</v>
      </c>
      <c r="I402" t="s">
        <v>29</v>
      </c>
      <c r="J402">
        <v>10</v>
      </c>
      <c r="K402">
        <v>827.03</v>
      </c>
      <c r="L402">
        <v>8270.2999999999993</v>
      </c>
      <c r="M402">
        <v>0.2</v>
      </c>
      <c r="N402">
        <v>796.93</v>
      </c>
      <c r="O402" t="s">
        <v>23</v>
      </c>
    </row>
    <row r="403" spans="1:15" x14ac:dyDescent="0.2">
      <c r="A403" t="s">
        <v>485</v>
      </c>
      <c r="B403" s="1">
        <v>45571</v>
      </c>
      <c r="C403" t="s">
        <v>39</v>
      </c>
      <c r="D403" t="s">
        <v>90</v>
      </c>
      <c r="E403" t="s">
        <v>91</v>
      </c>
      <c r="F403" t="s">
        <v>19</v>
      </c>
      <c r="G403" t="s">
        <v>57</v>
      </c>
      <c r="H403" t="s">
        <v>21</v>
      </c>
      <c r="I403" t="s">
        <v>52</v>
      </c>
      <c r="J403">
        <v>2</v>
      </c>
      <c r="K403">
        <v>216.75</v>
      </c>
      <c r="L403">
        <v>433.5</v>
      </c>
      <c r="M403">
        <v>0.1</v>
      </c>
      <c r="N403">
        <v>48.53</v>
      </c>
      <c r="O403" t="s">
        <v>37</v>
      </c>
    </row>
    <row r="404" spans="1:15" x14ac:dyDescent="0.2">
      <c r="A404" t="s">
        <v>486</v>
      </c>
      <c r="B404" s="1">
        <v>45686</v>
      </c>
      <c r="C404" t="s">
        <v>25</v>
      </c>
      <c r="D404" t="s">
        <v>104</v>
      </c>
      <c r="E404" t="s">
        <v>72</v>
      </c>
      <c r="F404" t="s">
        <v>28</v>
      </c>
      <c r="G404" t="s">
        <v>36</v>
      </c>
      <c r="H404" t="s">
        <v>66</v>
      </c>
      <c r="I404" t="s">
        <v>81</v>
      </c>
      <c r="J404">
        <v>10</v>
      </c>
      <c r="K404">
        <v>795.65</v>
      </c>
      <c r="L404">
        <v>7956.5</v>
      </c>
      <c r="M404">
        <v>0.05</v>
      </c>
      <c r="N404">
        <v>1226.99</v>
      </c>
      <c r="O404" t="s">
        <v>49</v>
      </c>
    </row>
    <row r="405" spans="1:15" x14ac:dyDescent="0.2">
      <c r="A405" t="s">
        <v>487</v>
      </c>
      <c r="B405" s="1">
        <v>45629</v>
      </c>
      <c r="C405" t="s">
        <v>32</v>
      </c>
      <c r="D405" t="s">
        <v>76</v>
      </c>
      <c r="E405" t="s">
        <v>18</v>
      </c>
      <c r="F405" t="s">
        <v>19</v>
      </c>
      <c r="G405" t="s">
        <v>20</v>
      </c>
      <c r="H405" t="s">
        <v>47</v>
      </c>
      <c r="I405" t="s">
        <v>58</v>
      </c>
      <c r="J405">
        <v>10</v>
      </c>
      <c r="K405">
        <v>946.38</v>
      </c>
      <c r="L405">
        <v>9463.7999999999993</v>
      </c>
      <c r="M405">
        <v>0</v>
      </c>
      <c r="N405">
        <v>1559.54</v>
      </c>
      <c r="O405" t="s">
        <v>23</v>
      </c>
    </row>
    <row r="406" spans="1:15" x14ac:dyDescent="0.2">
      <c r="A406" t="s">
        <v>488</v>
      </c>
      <c r="B406" s="1">
        <v>45625</v>
      </c>
      <c r="C406" t="s">
        <v>39</v>
      </c>
      <c r="D406" t="s">
        <v>100</v>
      </c>
      <c r="E406" t="s">
        <v>101</v>
      </c>
      <c r="F406" t="s">
        <v>56</v>
      </c>
      <c r="G406" t="s">
        <v>36</v>
      </c>
      <c r="H406" t="s">
        <v>47</v>
      </c>
      <c r="I406" t="s">
        <v>48</v>
      </c>
      <c r="J406">
        <v>8</v>
      </c>
      <c r="K406">
        <v>499.65</v>
      </c>
      <c r="L406">
        <v>3997.2</v>
      </c>
      <c r="M406">
        <v>0.1</v>
      </c>
      <c r="N406">
        <v>482.95</v>
      </c>
      <c r="O406" t="s">
        <v>30</v>
      </c>
    </row>
    <row r="407" spans="1:15" x14ac:dyDescent="0.2">
      <c r="A407" t="s">
        <v>489</v>
      </c>
      <c r="B407" s="1">
        <v>45559</v>
      </c>
      <c r="C407" t="s">
        <v>44</v>
      </c>
      <c r="D407" t="s">
        <v>17</v>
      </c>
      <c r="E407" t="s">
        <v>18</v>
      </c>
      <c r="F407" t="s">
        <v>19</v>
      </c>
      <c r="G407" t="s">
        <v>57</v>
      </c>
      <c r="H407" t="s">
        <v>21</v>
      </c>
      <c r="I407" t="s">
        <v>29</v>
      </c>
      <c r="J407">
        <v>10</v>
      </c>
      <c r="K407">
        <v>23.23</v>
      </c>
      <c r="L407">
        <v>232.3</v>
      </c>
      <c r="M407">
        <v>0</v>
      </c>
      <c r="N407">
        <v>41.52</v>
      </c>
      <c r="O407" t="s">
        <v>37</v>
      </c>
    </row>
    <row r="408" spans="1:15" x14ac:dyDescent="0.2">
      <c r="A408" t="s">
        <v>490</v>
      </c>
      <c r="B408" s="1">
        <v>45797</v>
      </c>
      <c r="C408" t="s">
        <v>32</v>
      </c>
      <c r="D408" t="s">
        <v>51</v>
      </c>
      <c r="E408" t="s">
        <v>46</v>
      </c>
      <c r="F408" t="s">
        <v>35</v>
      </c>
      <c r="G408" t="s">
        <v>20</v>
      </c>
      <c r="H408" t="s">
        <v>21</v>
      </c>
      <c r="I408" t="s">
        <v>29</v>
      </c>
      <c r="J408">
        <v>6</v>
      </c>
      <c r="K408">
        <v>645.49</v>
      </c>
      <c r="L408">
        <v>3872.94</v>
      </c>
      <c r="M408">
        <v>0</v>
      </c>
      <c r="N408">
        <v>557.62</v>
      </c>
      <c r="O408" t="s">
        <v>30</v>
      </c>
    </row>
    <row r="409" spans="1:15" x14ac:dyDescent="0.2">
      <c r="A409" t="s">
        <v>491</v>
      </c>
      <c r="B409" s="1">
        <v>45636</v>
      </c>
      <c r="C409" t="s">
        <v>25</v>
      </c>
      <c r="D409" t="s">
        <v>40</v>
      </c>
      <c r="E409" t="s">
        <v>34</v>
      </c>
      <c r="F409" t="s">
        <v>35</v>
      </c>
      <c r="G409" t="s">
        <v>57</v>
      </c>
      <c r="H409" t="s">
        <v>47</v>
      </c>
      <c r="I409" t="s">
        <v>48</v>
      </c>
      <c r="J409">
        <v>9</v>
      </c>
      <c r="K409">
        <v>775.06</v>
      </c>
      <c r="L409">
        <v>6975.54</v>
      </c>
      <c r="M409">
        <v>0.15</v>
      </c>
      <c r="N409">
        <v>1022.58</v>
      </c>
      <c r="O409" t="s">
        <v>30</v>
      </c>
    </row>
    <row r="410" spans="1:15" x14ac:dyDescent="0.2">
      <c r="A410" t="s">
        <v>492</v>
      </c>
      <c r="B410" s="1">
        <v>45479</v>
      </c>
      <c r="C410" t="s">
        <v>25</v>
      </c>
      <c r="D410" t="s">
        <v>130</v>
      </c>
      <c r="E410" t="s">
        <v>101</v>
      </c>
      <c r="F410" t="s">
        <v>56</v>
      </c>
      <c r="G410" t="s">
        <v>20</v>
      </c>
      <c r="H410" t="s">
        <v>47</v>
      </c>
      <c r="I410" t="s">
        <v>58</v>
      </c>
      <c r="J410">
        <v>1</v>
      </c>
      <c r="K410">
        <v>225.57</v>
      </c>
      <c r="L410">
        <v>225.57</v>
      </c>
      <c r="M410">
        <v>0</v>
      </c>
      <c r="N410">
        <v>17.54</v>
      </c>
      <c r="O410" t="s">
        <v>30</v>
      </c>
    </row>
    <row r="411" spans="1:15" x14ac:dyDescent="0.2">
      <c r="A411" t="s">
        <v>493</v>
      </c>
      <c r="B411" s="1">
        <v>45757</v>
      </c>
      <c r="C411" t="s">
        <v>32</v>
      </c>
      <c r="D411" t="s">
        <v>107</v>
      </c>
      <c r="E411" t="s">
        <v>96</v>
      </c>
      <c r="F411" t="s">
        <v>56</v>
      </c>
      <c r="G411" t="s">
        <v>36</v>
      </c>
      <c r="H411" t="s">
        <v>66</v>
      </c>
      <c r="I411" t="s">
        <v>73</v>
      </c>
      <c r="J411">
        <v>9</v>
      </c>
      <c r="K411">
        <v>989.59</v>
      </c>
      <c r="L411">
        <v>8906.31</v>
      </c>
      <c r="M411">
        <v>0</v>
      </c>
      <c r="N411">
        <v>907.89</v>
      </c>
      <c r="O411" t="s">
        <v>23</v>
      </c>
    </row>
    <row r="412" spans="1:15" x14ac:dyDescent="0.2">
      <c r="A412" t="s">
        <v>494</v>
      </c>
      <c r="B412" s="1">
        <v>45659</v>
      </c>
      <c r="C412" t="s">
        <v>25</v>
      </c>
      <c r="D412" t="s">
        <v>104</v>
      </c>
      <c r="E412" t="s">
        <v>72</v>
      </c>
      <c r="F412" t="s">
        <v>28</v>
      </c>
      <c r="G412" t="s">
        <v>57</v>
      </c>
      <c r="H412" t="s">
        <v>21</v>
      </c>
      <c r="I412" t="s">
        <v>52</v>
      </c>
      <c r="J412">
        <v>5</v>
      </c>
      <c r="K412">
        <v>699.27</v>
      </c>
      <c r="L412">
        <v>3496.35</v>
      </c>
      <c r="M412">
        <v>0.05</v>
      </c>
      <c r="N412">
        <v>553.66999999999996</v>
      </c>
      <c r="O412" t="s">
        <v>49</v>
      </c>
    </row>
    <row r="413" spans="1:15" x14ac:dyDescent="0.2">
      <c r="A413" t="s">
        <v>495</v>
      </c>
      <c r="B413" s="1">
        <v>45485</v>
      </c>
      <c r="C413" t="s">
        <v>16</v>
      </c>
      <c r="D413" t="s">
        <v>51</v>
      </c>
      <c r="E413" t="s">
        <v>46</v>
      </c>
      <c r="F413" t="s">
        <v>35</v>
      </c>
      <c r="G413" t="s">
        <v>20</v>
      </c>
      <c r="H413" t="s">
        <v>21</v>
      </c>
      <c r="I413" t="s">
        <v>79</v>
      </c>
      <c r="J413">
        <v>9</v>
      </c>
      <c r="K413">
        <v>528.53</v>
      </c>
      <c r="L413">
        <v>4756.7700000000004</v>
      </c>
      <c r="M413">
        <v>0.2</v>
      </c>
      <c r="N413">
        <v>554.01</v>
      </c>
      <c r="O413" t="s">
        <v>30</v>
      </c>
    </row>
    <row r="414" spans="1:15" x14ac:dyDescent="0.2">
      <c r="A414" t="s">
        <v>496</v>
      </c>
      <c r="B414" s="1">
        <v>45648</v>
      </c>
      <c r="C414" t="s">
        <v>39</v>
      </c>
      <c r="D414" t="s">
        <v>238</v>
      </c>
      <c r="E414" t="s">
        <v>143</v>
      </c>
      <c r="F414" t="s">
        <v>35</v>
      </c>
      <c r="G414" t="s">
        <v>36</v>
      </c>
      <c r="H414" t="s">
        <v>47</v>
      </c>
      <c r="I414" t="s">
        <v>58</v>
      </c>
      <c r="J414">
        <v>5</v>
      </c>
      <c r="K414">
        <v>711.96</v>
      </c>
      <c r="L414">
        <v>3559.8</v>
      </c>
      <c r="M414">
        <v>0.1</v>
      </c>
      <c r="N414">
        <v>518.07000000000005</v>
      </c>
      <c r="O414" t="s">
        <v>23</v>
      </c>
    </row>
    <row r="415" spans="1:15" x14ac:dyDescent="0.2">
      <c r="A415" t="s">
        <v>497</v>
      </c>
      <c r="B415" s="1">
        <v>45668</v>
      </c>
      <c r="C415" t="s">
        <v>32</v>
      </c>
      <c r="D415" t="s">
        <v>76</v>
      </c>
      <c r="E415" t="s">
        <v>18</v>
      </c>
      <c r="F415" t="s">
        <v>19</v>
      </c>
      <c r="G415" t="s">
        <v>57</v>
      </c>
      <c r="H415" t="s">
        <v>41</v>
      </c>
      <c r="I415" t="s">
        <v>86</v>
      </c>
      <c r="J415">
        <v>4</v>
      </c>
      <c r="K415">
        <v>15.1</v>
      </c>
      <c r="L415">
        <v>60.4</v>
      </c>
      <c r="M415">
        <v>0.05</v>
      </c>
      <c r="N415">
        <v>8.24</v>
      </c>
      <c r="O415" t="s">
        <v>30</v>
      </c>
    </row>
    <row r="416" spans="1:15" x14ac:dyDescent="0.2">
      <c r="A416" t="s">
        <v>498</v>
      </c>
      <c r="B416" s="1">
        <v>45563</v>
      </c>
      <c r="C416" t="s">
        <v>39</v>
      </c>
      <c r="D416" t="s">
        <v>95</v>
      </c>
      <c r="E416" t="s">
        <v>96</v>
      </c>
      <c r="F416" t="s">
        <v>56</v>
      </c>
      <c r="G416" t="s">
        <v>20</v>
      </c>
      <c r="H416" t="s">
        <v>47</v>
      </c>
      <c r="I416" t="s">
        <v>77</v>
      </c>
      <c r="J416">
        <v>5</v>
      </c>
      <c r="K416">
        <v>709.1</v>
      </c>
      <c r="L416">
        <v>3545.5</v>
      </c>
      <c r="M416">
        <v>0.05</v>
      </c>
      <c r="N416">
        <v>739.53</v>
      </c>
      <c r="O416" t="s">
        <v>23</v>
      </c>
    </row>
    <row r="417" spans="1:15" x14ac:dyDescent="0.2">
      <c r="A417" t="s">
        <v>499</v>
      </c>
      <c r="B417" s="1">
        <v>45599</v>
      </c>
      <c r="C417" t="s">
        <v>16</v>
      </c>
      <c r="D417" t="s">
        <v>90</v>
      </c>
      <c r="E417" t="s">
        <v>91</v>
      </c>
      <c r="F417" t="s">
        <v>19</v>
      </c>
      <c r="G417" t="s">
        <v>20</v>
      </c>
      <c r="H417" t="s">
        <v>21</v>
      </c>
      <c r="I417" t="s">
        <v>79</v>
      </c>
      <c r="J417">
        <v>7</v>
      </c>
      <c r="K417">
        <v>189.58</v>
      </c>
      <c r="L417">
        <v>1327.06</v>
      </c>
      <c r="M417">
        <v>0.1</v>
      </c>
      <c r="N417">
        <v>160.78</v>
      </c>
      <c r="O417" t="s">
        <v>37</v>
      </c>
    </row>
    <row r="418" spans="1:15" x14ac:dyDescent="0.2">
      <c r="A418" t="s">
        <v>500</v>
      </c>
      <c r="B418" s="1">
        <v>45585</v>
      </c>
      <c r="C418" t="s">
        <v>32</v>
      </c>
      <c r="D418" t="s">
        <v>119</v>
      </c>
      <c r="E418" t="s">
        <v>120</v>
      </c>
      <c r="F418" t="s">
        <v>28</v>
      </c>
      <c r="G418" t="s">
        <v>20</v>
      </c>
      <c r="H418" t="s">
        <v>66</v>
      </c>
      <c r="I418" t="s">
        <v>73</v>
      </c>
      <c r="J418">
        <v>4</v>
      </c>
      <c r="K418">
        <v>18.55</v>
      </c>
      <c r="L418">
        <v>74.2</v>
      </c>
      <c r="M418">
        <v>0.15</v>
      </c>
      <c r="N418">
        <v>5.51</v>
      </c>
      <c r="O418" t="s">
        <v>30</v>
      </c>
    </row>
    <row r="419" spans="1:15" x14ac:dyDescent="0.2">
      <c r="A419" t="s">
        <v>501</v>
      </c>
      <c r="B419" s="1">
        <v>45478</v>
      </c>
      <c r="C419" t="s">
        <v>32</v>
      </c>
      <c r="D419" t="s">
        <v>100</v>
      </c>
      <c r="E419" t="s">
        <v>101</v>
      </c>
      <c r="F419" t="s">
        <v>56</v>
      </c>
      <c r="G419" t="s">
        <v>20</v>
      </c>
      <c r="H419" t="s">
        <v>21</v>
      </c>
      <c r="I419" t="s">
        <v>29</v>
      </c>
      <c r="J419">
        <v>6</v>
      </c>
      <c r="K419">
        <v>432.61</v>
      </c>
      <c r="L419">
        <v>2595.66</v>
      </c>
      <c r="M419">
        <v>0.05</v>
      </c>
      <c r="N419">
        <v>319.05</v>
      </c>
      <c r="O419" t="s">
        <v>30</v>
      </c>
    </row>
    <row r="420" spans="1:15" x14ac:dyDescent="0.2">
      <c r="A420" t="s">
        <v>502</v>
      </c>
      <c r="B420" s="1">
        <v>45636</v>
      </c>
      <c r="C420" t="s">
        <v>25</v>
      </c>
      <c r="D420" t="s">
        <v>51</v>
      </c>
      <c r="E420" t="s">
        <v>46</v>
      </c>
      <c r="F420" t="s">
        <v>35</v>
      </c>
      <c r="G420" t="s">
        <v>57</v>
      </c>
      <c r="H420" t="s">
        <v>47</v>
      </c>
      <c r="I420" t="s">
        <v>48</v>
      </c>
      <c r="J420">
        <v>1</v>
      </c>
      <c r="K420">
        <v>649.32000000000005</v>
      </c>
      <c r="L420">
        <v>649.32000000000005</v>
      </c>
      <c r="M420">
        <v>0.15</v>
      </c>
      <c r="N420">
        <v>49</v>
      </c>
      <c r="O420" t="s">
        <v>30</v>
      </c>
    </row>
    <row r="421" spans="1:15" x14ac:dyDescent="0.2">
      <c r="A421" t="s">
        <v>503</v>
      </c>
      <c r="B421" s="1">
        <v>45812</v>
      </c>
      <c r="C421" t="s">
        <v>44</v>
      </c>
      <c r="D421" t="s">
        <v>17</v>
      </c>
      <c r="E421" t="s">
        <v>18</v>
      </c>
      <c r="F421" t="s">
        <v>19</v>
      </c>
      <c r="G421" t="s">
        <v>20</v>
      </c>
      <c r="H421" t="s">
        <v>41</v>
      </c>
      <c r="I421" t="s">
        <v>42</v>
      </c>
      <c r="J421">
        <v>9</v>
      </c>
      <c r="K421">
        <v>434.7</v>
      </c>
      <c r="L421">
        <v>3912.3</v>
      </c>
      <c r="M421">
        <v>0</v>
      </c>
      <c r="N421">
        <v>701.35</v>
      </c>
      <c r="O421" t="s">
        <v>49</v>
      </c>
    </row>
    <row r="422" spans="1:15" x14ac:dyDescent="0.2">
      <c r="A422" t="s">
        <v>504</v>
      </c>
      <c r="B422" s="1">
        <v>45571</v>
      </c>
      <c r="C422" t="s">
        <v>44</v>
      </c>
      <c r="D422" t="s">
        <v>154</v>
      </c>
      <c r="E422" t="s">
        <v>120</v>
      </c>
      <c r="F422" t="s">
        <v>28</v>
      </c>
      <c r="G422" t="s">
        <v>57</v>
      </c>
      <c r="H422" t="s">
        <v>21</v>
      </c>
      <c r="I422" t="s">
        <v>79</v>
      </c>
      <c r="J422">
        <v>2</v>
      </c>
      <c r="K422">
        <v>533.07000000000005</v>
      </c>
      <c r="L422">
        <v>1066.1400000000001</v>
      </c>
      <c r="M422">
        <v>0.1</v>
      </c>
      <c r="N422">
        <v>91.44</v>
      </c>
      <c r="O422" t="s">
        <v>37</v>
      </c>
    </row>
    <row r="423" spans="1:15" x14ac:dyDescent="0.2">
      <c r="A423" t="s">
        <v>505</v>
      </c>
      <c r="B423" s="1">
        <v>45815</v>
      </c>
      <c r="C423" t="s">
        <v>25</v>
      </c>
      <c r="D423" t="s">
        <v>107</v>
      </c>
      <c r="E423" t="s">
        <v>96</v>
      </c>
      <c r="F423" t="s">
        <v>56</v>
      </c>
      <c r="G423" t="s">
        <v>57</v>
      </c>
      <c r="H423" t="s">
        <v>47</v>
      </c>
      <c r="I423" t="s">
        <v>58</v>
      </c>
      <c r="J423">
        <v>3</v>
      </c>
      <c r="K423">
        <v>786.16</v>
      </c>
      <c r="L423">
        <v>2358.48</v>
      </c>
      <c r="M423">
        <v>0.1</v>
      </c>
      <c r="N423">
        <v>376.51</v>
      </c>
      <c r="O423" t="s">
        <v>37</v>
      </c>
    </row>
    <row r="424" spans="1:15" x14ac:dyDescent="0.2">
      <c r="A424" t="s">
        <v>506</v>
      </c>
      <c r="B424" s="1">
        <v>45796</v>
      </c>
      <c r="C424" t="s">
        <v>44</v>
      </c>
      <c r="D424" t="s">
        <v>154</v>
      </c>
      <c r="E424" t="s">
        <v>120</v>
      </c>
      <c r="F424" t="s">
        <v>28</v>
      </c>
      <c r="G424" t="s">
        <v>20</v>
      </c>
      <c r="H424" t="s">
        <v>66</v>
      </c>
      <c r="I424" t="s">
        <v>73</v>
      </c>
      <c r="J424">
        <v>5</v>
      </c>
      <c r="K424">
        <v>852.86</v>
      </c>
      <c r="L424">
        <v>4264.3</v>
      </c>
      <c r="M424">
        <v>0.05</v>
      </c>
      <c r="N424">
        <v>340.48</v>
      </c>
      <c r="O424" t="s">
        <v>49</v>
      </c>
    </row>
    <row r="425" spans="1:15" x14ac:dyDescent="0.2">
      <c r="A425" t="s">
        <v>507</v>
      </c>
      <c r="B425" s="1">
        <v>45757</v>
      </c>
      <c r="C425" t="s">
        <v>39</v>
      </c>
      <c r="D425" t="s">
        <v>90</v>
      </c>
      <c r="E425" t="s">
        <v>91</v>
      </c>
      <c r="F425" t="s">
        <v>19</v>
      </c>
      <c r="G425" t="s">
        <v>36</v>
      </c>
      <c r="H425" t="s">
        <v>21</v>
      </c>
      <c r="I425" t="s">
        <v>79</v>
      </c>
      <c r="J425">
        <v>7</v>
      </c>
      <c r="K425">
        <v>335.39</v>
      </c>
      <c r="L425">
        <v>2347.73</v>
      </c>
      <c r="M425">
        <v>0.05</v>
      </c>
      <c r="N425">
        <v>546.15</v>
      </c>
      <c r="O425" t="s">
        <v>49</v>
      </c>
    </row>
    <row r="426" spans="1:15" x14ac:dyDescent="0.2">
      <c r="A426" t="s">
        <v>508</v>
      </c>
      <c r="B426" s="1">
        <v>45462</v>
      </c>
      <c r="C426" t="s">
        <v>16</v>
      </c>
      <c r="D426" t="s">
        <v>26</v>
      </c>
      <c r="E426" t="s">
        <v>27</v>
      </c>
      <c r="F426" t="s">
        <v>28</v>
      </c>
      <c r="G426" t="s">
        <v>20</v>
      </c>
      <c r="H426" t="s">
        <v>21</v>
      </c>
      <c r="I426" t="s">
        <v>79</v>
      </c>
      <c r="J426">
        <v>8</v>
      </c>
      <c r="K426">
        <v>873.47</v>
      </c>
      <c r="L426">
        <v>6987.76</v>
      </c>
      <c r="M426">
        <v>0.15</v>
      </c>
      <c r="N426">
        <v>426.92</v>
      </c>
      <c r="O426" t="s">
        <v>30</v>
      </c>
    </row>
    <row r="427" spans="1:15" x14ac:dyDescent="0.2">
      <c r="A427" t="s">
        <v>509</v>
      </c>
      <c r="B427" s="1">
        <v>45735</v>
      </c>
      <c r="C427" t="s">
        <v>39</v>
      </c>
      <c r="D427" t="s">
        <v>76</v>
      </c>
      <c r="E427" t="s">
        <v>18</v>
      </c>
      <c r="F427" t="s">
        <v>19</v>
      </c>
      <c r="G427" t="s">
        <v>36</v>
      </c>
      <c r="H427" t="s">
        <v>21</v>
      </c>
      <c r="I427" t="s">
        <v>22</v>
      </c>
      <c r="J427">
        <v>5</v>
      </c>
      <c r="K427">
        <v>804.28</v>
      </c>
      <c r="L427">
        <v>4021.4</v>
      </c>
      <c r="M427">
        <v>0.1</v>
      </c>
      <c r="N427">
        <v>508.59</v>
      </c>
      <c r="O427" t="s">
        <v>30</v>
      </c>
    </row>
    <row r="428" spans="1:15" x14ac:dyDescent="0.2">
      <c r="A428" t="s">
        <v>510</v>
      </c>
      <c r="B428" s="1">
        <v>45669</v>
      </c>
      <c r="C428" t="s">
        <v>25</v>
      </c>
      <c r="D428" t="s">
        <v>238</v>
      </c>
      <c r="E428" t="s">
        <v>143</v>
      </c>
      <c r="F428" t="s">
        <v>35</v>
      </c>
      <c r="G428" t="s">
        <v>57</v>
      </c>
      <c r="H428" t="s">
        <v>66</v>
      </c>
      <c r="I428" t="s">
        <v>73</v>
      </c>
      <c r="J428">
        <v>1</v>
      </c>
      <c r="K428">
        <v>828.09</v>
      </c>
      <c r="L428">
        <v>828.09</v>
      </c>
      <c r="M428">
        <v>0.1</v>
      </c>
      <c r="N428">
        <v>143.12</v>
      </c>
      <c r="O428" t="s">
        <v>49</v>
      </c>
    </row>
    <row r="429" spans="1:15" x14ac:dyDescent="0.2">
      <c r="A429" t="s">
        <v>511</v>
      </c>
      <c r="B429" s="1">
        <v>45744</v>
      </c>
      <c r="C429" t="s">
        <v>39</v>
      </c>
      <c r="D429" t="s">
        <v>142</v>
      </c>
      <c r="E429" t="s">
        <v>143</v>
      </c>
      <c r="F429" t="s">
        <v>35</v>
      </c>
      <c r="G429" t="s">
        <v>57</v>
      </c>
      <c r="H429" t="s">
        <v>47</v>
      </c>
      <c r="I429" t="s">
        <v>77</v>
      </c>
      <c r="J429">
        <v>3</v>
      </c>
      <c r="K429">
        <v>358.48</v>
      </c>
      <c r="L429">
        <v>1075.44</v>
      </c>
      <c r="M429">
        <v>0</v>
      </c>
      <c r="N429">
        <v>106.33</v>
      </c>
      <c r="O429" t="s">
        <v>37</v>
      </c>
    </row>
    <row r="430" spans="1:15" x14ac:dyDescent="0.2">
      <c r="A430" t="s">
        <v>512</v>
      </c>
      <c r="B430" s="1">
        <v>45576</v>
      </c>
      <c r="C430" t="s">
        <v>39</v>
      </c>
      <c r="D430" t="s">
        <v>76</v>
      </c>
      <c r="E430" t="s">
        <v>18</v>
      </c>
      <c r="F430" t="s">
        <v>19</v>
      </c>
      <c r="G430" t="s">
        <v>57</v>
      </c>
      <c r="H430" t="s">
        <v>47</v>
      </c>
      <c r="I430" t="s">
        <v>58</v>
      </c>
      <c r="J430">
        <v>5</v>
      </c>
      <c r="K430">
        <v>877.39</v>
      </c>
      <c r="L430">
        <v>4386.95</v>
      </c>
      <c r="M430">
        <v>0.2</v>
      </c>
      <c r="N430">
        <v>806.65</v>
      </c>
      <c r="O430" t="s">
        <v>30</v>
      </c>
    </row>
    <row r="431" spans="1:15" x14ac:dyDescent="0.2">
      <c r="A431" t="s">
        <v>513</v>
      </c>
      <c r="B431" s="1">
        <v>45752</v>
      </c>
      <c r="C431" t="s">
        <v>25</v>
      </c>
      <c r="D431" t="s">
        <v>90</v>
      </c>
      <c r="E431" t="s">
        <v>91</v>
      </c>
      <c r="F431" t="s">
        <v>19</v>
      </c>
      <c r="G431" t="s">
        <v>57</v>
      </c>
      <c r="H431" t="s">
        <v>47</v>
      </c>
      <c r="I431" t="s">
        <v>48</v>
      </c>
      <c r="J431">
        <v>5</v>
      </c>
      <c r="K431">
        <v>310.7</v>
      </c>
      <c r="L431">
        <v>1553.5</v>
      </c>
      <c r="M431">
        <v>0</v>
      </c>
      <c r="N431">
        <v>257.73</v>
      </c>
      <c r="O431" t="s">
        <v>49</v>
      </c>
    </row>
    <row r="432" spans="1:15" x14ac:dyDescent="0.2">
      <c r="A432" t="s">
        <v>514</v>
      </c>
      <c r="B432" s="1">
        <v>45574</v>
      </c>
      <c r="C432" t="s">
        <v>44</v>
      </c>
      <c r="D432" t="s">
        <v>71</v>
      </c>
      <c r="E432" t="s">
        <v>72</v>
      </c>
      <c r="F432" t="s">
        <v>28</v>
      </c>
      <c r="G432" t="s">
        <v>57</v>
      </c>
      <c r="H432" t="s">
        <v>66</v>
      </c>
      <c r="I432" t="s">
        <v>73</v>
      </c>
      <c r="J432">
        <v>2</v>
      </c>
      <c r="K432">
        <v>969.53</v>
      </c>
      <c r="L432">
        <v>1939.06</v>
      </c>
      <c r="M432">
        <v>0.15</v>
      </c>
      <c r="N432">
        <v>388.06</v>
      </c>
      <c r="O432" t="s">
        <v>23</v>
      </c>
    </row>
    <row r="433" spans="1:15" x14ac:dyDescent="0.2">
      <c r="A433" t="s">
        <v>515</v>
      </c>
      <c r="B433" s="1">
        <v>45726</v>
      </c>
      <c r="C433" t="s">
        <v>44</v>
      </c>
      <c r="D433" t="s">
        <v>17</v>
      </c>
      <c r="E433" t="s">
        <v>18</v>
      </c>
      <c r="F433" t="s">
        <v>19</v>
      </c>
      <c r="G433" t="s">
        <v>20</v>
      </c>
      <c r="H433" t="s">
        <v>41</v>
      </c>
      <c r="I433" t="s">
        <v>42</v>
      </c>
      <c r="J433">
        <v>5</v>
      </c>
      <c r="K433">
        <v>487.85</v>
      </c>
      <c r="L433">
        <v>2439.25</v>
      </c>
      <c r="M433">
        <v>0</v>
      </c>
      <c r="N433">
        <v>512.14</v>
      </c>
      <c r="O433" t="s">
        <v>37</v>
      </c>
    </row>
    <row r="434" spans="1:15" x14ac:dyDescent="0.2">
      <c r="A434" t="s">
        <v>516</v>
      </c>
      <c r="B434" s="1">
        <v>45592</v>
      </c>
      <c r="C434" t="s">
        <v>44</v>
      </c>
      <c r="D434" t="s">
        <v>119</v>
      </c>
      <c r="E434" t="s">
        <v>120</v>
      </c>
      <c r="F434" t="s">
        <v>28</v>
      </c>
      <c r="G434" t="s">
        <v>36</v>
      </c>
      <c r="H434" t="s">
        <v>21</v>
      </c>
      <c r="I434" t="s">
        <v>29</v>
      </c>
      <c r="J434">
        <v>8</v>
      </c>
      <c r="K434">
        <v>307.20999999999998</v>
      </c>
      <c r="L434">
        <v>2457.6799999999998</v>
      </c>
      <c r="M434">
        <v>0.15</v>
      </c>
      <c r="N434">
        <v>251.63</v>
      </c>
      <c r="O434" t="s">
        <v>30</v>
      </c>
    </row>
    <row r="435" spans="1:15" x14ac:dyDescent="0.2">
      <c r="A435" t="s">
        <v>517</v>
      </c>
      <c r="B435" s="1">
        <v>45522</v>
      </c>
      <c r="C435" t="s">
        <v>25</v>
      </c>
      <c r="D435" t="s">
        <v>51</v>
      </c>
      <c r="E435" t="s">
        <v>46</v>
      </c>
      <c r="F435" t="s">
        <v>35</v>
      </c>
      <c r="G435" t="s">
        <v>20</v>
      </c>
      <c r="H435" t="s">
        <v>21</v>
      </c>
      <c r="I435" t="s">
        <v>52</v>
      </c>
      <c r="J435">
        <v>2</v>
      </c>
      <c r="K435">
        <v>713.77</v>
      </c>
      <c r="L435">
        <v>1427.54</v>
      </c>
      <c r="M435">
        <v>0.05</v>
      </c>
      <c r="N435">
        <v>337.93</v>
      </c>
      <c r="O435" t="s">
        <v>37</v>
      </c>
    </row>
    <row r="436" spans="1:15" x14ac:dyDescent="0.2">
      <c r="A436" t="s">
        <v>518</v>
      </c>
      <c r="B436" s="1">
        <v>45472</v>
      </c>
      <c r="C436" t="s">
        <v>32</v>
      </c>
      <c r="D436" t="s">
        <v>104</v>
      </c>
      <c r="E436" t="s">
        <v>72</v>
      </c>
      <c r="F436" t="s">
        <v>28</v>
      </c>
      <c r="G436" t="s">
        <v>57</v>
      </c>
      <c r="H436" t="s">
        <v>41</v>
      </c>
      <c r="I436" t="s">
        <v>42</v>
      </c>
      <c r="J436">
        <v>4</v>
      </c>
      <c r="K436">
        <v>812.09</v>
      </c>
      <c r="L436">
        <v>3248.36</v>
      </c>
      <c r="M436">
        <v>0.15</v>
      </c>
      <c r="N436">
        <v>371.4</v>
      </c>
      <c r="O436" t="s">
        <v>23</v>
      </c>
    </row>
    <row r="437" spans="1:15" x14ac:dyDescent="0.2">
      <c r="A437" t="s">
        <v>519</v>
      </c>
      <c r="B437" s="1">
        <v>45572</v>
      </c>
      <c r="C437" t="s">
        <v>39</v>
      </c>
      <c r="D437" t="s">
        <v>238</v>
      </c>
      <c r="E437" t="s">
        <v>143</v>
      </c>
      <c r="F437" t="s">
        <v>35</v>
      </c>
      <c r="G437" t="s">
        <v>20</v>
      </c>
      <c r="H437" t="s">
        <v>21</v>
      </c>
      <c r="I437" t="s">
        <v>22</v>
      </c>
      <c r="J437">
        <v>6</v>
      </c>
      <c r="K437">
        <v>804.77</v>
      </c>
      <c r="L437">
        <v>4828.62</v>
      </c>
      <c r="M437">
        <v>0.05</v>
      </c>
      <c r="N437">
        <v>856.26</v>
      </c>
      <c r="O437" t="s">
        <v>49</v>
      </c>
    </row>
    <row r="438" spans="1:15" x14ac:dyDescent="0.2">
      <c r="A438" t="s">
        <v>520</v>
      </c>
      <c r="B438" s="1">
        <v>45738</v>
      </c>
      <c r="C438" t="s">
        <v>25</v>
      </c>
      <c r="D438" t="s">
        <v>113</v>
      </c>
      <c r="E438" t="s">
        <v>91</v>
      </c>
      <c r="F438" t="s">
        <v>19</v>
      </c>
      <c r="G438" t="s">
        <v>57</v>
      </c>
      <c r="H438" t="s">
        <v>41</v>
      </c>
      <c r="I438" t="s">
        <v>42</v>
      </c>
      <c r="J438">
        <v>5</v>
      </c>
      <c r="K438">
        <v>567.53</v>
      </c>
      <c r="L438">
        <v>2837.65</v>
      </c>
      <c r="M438">
        <v>0.15</v>
      </c>
      <c r="N438">
        <v>383.91</v>
      </c>
      <c r="O438" t="s">
        <v>30</v>
      </c>
    </row>
    <row r="439" spans="1:15" x14ac:dyDescent="0.2">
      <c r="A439" t="s">
        <v>521</v>
      </c>
      <c r="B439" s="1">
        <v>45458</v>
      </c>
      <c r="C439" t="s">
        <v>25</v>
      </c>
      <c r="D439" t="s">
        <v>119</v>
      </c>
      <c r="E439" t="s">
        <v>120</v>
      </c>
      <c r="F439" t="s">
        <v>28</v>
      </c>
      <c r="G439" t="s">
        <v>20</v>
      </c>
      <c r="H439" t="s">
        <v>47</v>
      </c>
      <c r="I439" t="s">
        <v>58</v>
      </c>
      <c r="J439">
        <v>8</v>
      </c>
      <c r="K439">
        <v>355.49</v>
      </c>
      <c r="L439">
        <v>2843.92</v>
      </c>
      <c r="M439">
        <v>0.15</v>
      </c>
      <c r="N439">
        <v>324.17</v>
      </c>
      <c r="O439" t="s">
        <v>23</v>
      </c>
    </row>
    <row r="440" spans="1:15" x14ac:dyDescent="0.2">
      <c r="A440" t="s">
        <v>522</v>
      </c>
      <c r="B440" s="1">
        <v>45783</v>
      </c>
      <c r="C440" t="s">
        <v>16</v>
      </c>
      <c r="D440" t="s">
        <v>69</v>
      </c>
      <c r="E440" t="s">
        <v>27</v>
      </c>
      <c r="F440" t="s">
        <v>28</v>
      </c>
      <c r="G440" t="s">
        <v>36</v>
      </c>
      <c r="H440" t="s">
        <v>47</v>
      </c>
      <c r="I440" t="s">
        <v>58</v>
      </c>
      <c r="J440">
        <v>10</v>
      </c>
      <c r="K440">
        <v>907.04</v>
      </c>
      <c r="L440">
        <v>9070.4</v>
      </c>
      <c r="M440">
        <v>0.05</v>
      </c>
      <c r="N440">
        <v>1430.96</v>
      </c>
      <c r="O440" t="s">
        <v>37</v>
      </c>
    </row>
    <row r="441" spans="1:15" x14ac:dyDescent="0.2">
      <c r="A441" t="s">
        <v>523</v>
      </c>
      <c r="B441" s="1">
        <v>45795</v>
      </c>
      <c r="C441" t="s">
        <v>39</v>
      </c>
      <c r="D441" t="s">
        <v>51</v>
      </c>
      <c r="E441" t="s">
        <v>46</v>
      </c>
      <c r="F441" t="s">
        <v>35</v>
      </c>
      <c r="G441" t="s">
        <v>57</v>
      </c>
      <c r="H441" t="s">
        <v>66</v>
      </c>
      <c r="I441" t="s">
        <v>81</v>
      </c>
      <c r="J441">
        <v>8</v>
      </c>
      <c r="K441">
        <v>807.87</v>
      </c>
      <c r="L441">
        <v>6462.96</v>
      </c>
      <c r="M441">
        <v>0.2</v>
      </c>
      <c r="N441">
        <v>734.42</v>
      </c>
      <c r="O441" t="s">
        <v>30</v>
      </c>
    </row>
    <row r="442" spans="1:15" x14ac:dyDescent="0.2">
      <c r="A442" t="s">
        <v>524</v>
      </c>
      <c r="B442" s="1">
        <v>45683</v>
      </c>
      <c r="C442" t="s">
        <v>25</v>
      </c>
      <c r="D442" t="s">
        <v>104</v>
      </c>
      <c r="E442" t="s">
        <v>72</v>
      </c>
      <c r="F442" t="s">
        <v>28</v>
      </c>
      <c r="G442" t="s">
        <v>20</v>
      </c>
      <c r="H442" t="s">
        <v>21</v>
      </c>
      <c r="I442" t="s">
        <v>52</v>
      </c>
      <c r="J442">
        <v>5</v>
      </c>
      <c r="K442">
        <v>566.30999999999995</v>
      </c>
      <c r="L442">
        <v>2831.55</v>
      </c>
      <c r="M442">
        <v>0.1</v>
      </c>
      <c r="N442">
        <v>567.94000000000005</v>
      </c>
      <c r="O442" t="s">
        <v>30</v>
      </c>
    </row>
    <row r="443" spans="1:15" x14ac:dyDescent="0.2">
      <c r="A443" t="s">
        <v>525</v>
      </c>
      <c r="B443" s="1">
        <v>45520</v>
      </c>
      <c r="C443" t="s">
        <v>44</v>
      </c>
      <c r="D443" t="s">
        <v>76</v>
      </c>
      <c r="E443" t="s">
        <v>18</v>
      </c>
      <c r="F443" t="s">
        <v>19</v>
      </c>
      <c r="G443" t="s">
        <v>20</v>
      </c>
      <c r="H443" t="s">
        <v>21</v>
      </c>
      <c r="I443" t="s">
        <v>52</v>
      </c>
      <c r="J443">
        <v>3</v>
      </c>
      <c r="K443">
        <v>225.1</v>
      </c>
      <c r="L443">
        <v>675.3</v>
      </c>
      <c r="M443">
        <v>0.05</v>
      </c>
      <c r="N443">
        <v>70.680000000000007</v>
      </c>
      <c r="O443" t="s">
        <v>49</v>
      </c>
    </row>
    <row r="444" spans="1:15" x14ac:dyDescent="0.2">
      <c r="A444" t="s">
        <v>526</v>
      </c>
      <c r="B444" s="1">
        <v>45491</v>
      </c>
      <c r="C444" t="s">
        <v>32</v>
      </c>
      <c r="D444" t="s">
        <v>104</v>
      </c>
      <c r="E444" t="s">
        <v>72</v>
      </c>
      <c r="F444" t="s">
        <v>28</v>
      </c>
      <c r="G444" t="s">
        <v>36</v>
      </c>
      <c r="H444" t="s">
        <v>66</v>
      </c>
      <c r="I444" t="s">
        <v>73</v>
      </c>
      <c r="J444">
        <v>3</v>
      </c>
      <c r="K444">
        <v>604.58000000000004</v>
      </c>
      <c r="L444">
        <v>1813.74</v>
      </c>
      <c r="M444">
        <v>0</v>
      </c>
      <c r="N444">
        <v>279.25</v>
      </c>
      <c r="O444" t="s">
        <v>30</v>
      </c>
    </row>
    <row r="445" spans="1:15" x14ac:dyDescent="0.2">
      <c r="A445" t="s">
        <v>527</v>
      </c>
      <c r="B445" s="1">
        <v>45615</v>
      </c>
      <c r="C445" t="s">
        <v>44</v>
      </c>
      <c r="D445" t="s">
        <v>104</v>
      </c>
      <c r="E445" t="s">
        <v>72</v>
      </c>
      <c r="F445" t="s">
        <v>28</v>
      </c>
      <c r="G445" t="s">
        <v>57</v>
      </c>
      <c r="H445" t="s">
        <v>41</v>
      </c>
      <c r="I445" t="s">
        <v>63</v>
      </c>
      <c r="J445">
        <v>1</v>
      </c>
      <c r="K445">
        <v>926.19</v>
      </c>
      <c r="L445">
        <v>926.19</v>
      </c>
      <c r="M445">
        <v>0.1</v>
      </c>
      <c r="N445">
        <v>109.12</v>
      </c>
      <c r="O445" t="s">
        <v>49</v>
      </c>
    </row>
    <row r="446" spans="1:15" x14ac:dyDescent="0.2">
      <c r="A446" t="s">
        <v>528</v>
      </c>
      <c r="B446" s="1">
        <v>45661</v>
      </c>
      <c r="C446" t="s">
        <v>44</v>
      </c>
      <c r="D446" t="s">
        <v>238</v>
      </c>
      <c r="E446" t="s">
        <v>143</v>
      </c>
      <c r="F446" t="s">
        <v>35</v>
      </c>
      <c r="G446" t="s">
        <v>36</v>
      </c>
      <c r="H446" t="s">
        <v>41</v>
      </c>
      <c r="I446" t="s">
        <v>63</v>
      </c>
      <c r="J446">
        <v>3</v>
      </c>
      <c r="K446">
        <v>636.91999999999996</v>
      </c>
      <c r="L446">
        <v>1910.76</v>
      </c>
      <c r="M446">
        <v>0.05</v>
      </c>
      <c r="N446">
        <v>142.19999999999999</v>
      </c>
      <c r="O446" t="s">
        <v>49</v>
      </c>
    </row>
    <row r="447" spans="1:15" x14ac:dyDescent="0.2">
      <c r="A447" t="s">
        <v>529</v>
      </c>
      <c r="B447" s="1">
        <v>45676</v>
      </c>
      <c r="C447" t="s">
        <v>25</v>
      </c>
      <c r="D447" t="s">
        <v>90</v>
      </c>
      <c r="E447" t="s">
        <v>91</v>
      </c>
      <c r="F447" t="s">
        <v>19</v>
      </c>
      <c r="G447" t="s">
        <v>57</v>
      </c>
      <c r="H447" t="s">
        <v>41</v>
      </c>
      <c r="I447" t="s">
        <v>63</v>
      </c>
      <c r="J447">
        <v>10</v>
      </c>
      <c r="K447">
        <v>493.98</v>
      </c>
      <c r="L447">
        <v>4939.8</v>
      </c>
      <c r="M447">
        <v>0.1</v>
      </c>
      <c r="N447">
        <v>570.12</v>
      </c>
      <c r="O447" t="s">
        <v>30</v>
      </c>
    </row>
    <row r="448" spans="1:15" x14ac:dyDescent="0.2">
      <c r="A448" t="s">
        <v>530</v>
      </c>
      <c r="B448" s="1">
        <v>45589</v>
      </c>
      <c r="C448" t="s">
        <v>32</v>
      </c>
      <c r="D448" t="s">
        <v>130</v>
      </c>
      <c r="E448" t="s">
        <v>101</v>
      </c>
      <c r="F448" t="s">
        <v>56</v>
      </c>
      <c r="G448" t="s">
        <v>57</v>
      </c>
      <c r="H448" t="s">
        <v>21</v>
      </c>
      <c r="I448" t="s">
        <v>29</v>
      </c>
      <c r="J448">
        <v>2</v>
      </c>
      <c r="K448">
        <v>565.08000000000004</v>
      </c>
      <c r="L448">
        <v>1130.1600000000001</v>
      </c>
      <c r="M448">
        <v>0</v>
      </c>
      <c r="N448">
        <v>187.73</v>
      </c>
      <c r="O448" t="s">
        <v>49</v>
      </c>
    </row>
    <row r="449" spans="1:15" x14ac:dyDescent="0.2">
      <c r="A449" t="s">
        <v>531</v>
      </c>
      <c r="B449" s="1">
        <v>45801</v>
      </c>
      <c r="C449" t="s">
        <v>16</v>
      </c>
      <c r="D449" t="s">
        <v>104</v>
      </c>
      <c r="E449" t="s">
        <v>72</v>
      </c>
      <c r="F449" t="s">
        <v>28</v>
      </c>
      <c r="G449" t="s">
        <v>20</v>
      </c>
      <c r="H449" t="s">
        <v>21</v>
      </c>
      <c r="I449" t="s">
        <v>29</v>
      </c>
      <c r="J449">
        <v>5</v>
      </c>
      <c r="K449">
        <v>11.1</v>
      </c>
      <c r="L449">
        <v>55.5</v>
      </c>
      <c r="M449">
        <v>0.05</v>
      </c>
      <c r="N449">
        <v>6.41</v>
      </c>
      <c r="O449" t="s">
        <v>49</v>
      </c>
    </row>
    <row r="450" spans="1:15" x14ac:dyDescent="0.2">
      <c r="A450" s="2" t="s">
        <v>532</v>
      </c>
      <c r="B450" s="1">
        <v>45554</v>
      </c>
      <c r="C450" t="s">
        <v>39</v>
      </c>
      <c r="D450" t="s">
        <v>54</v>
      </c>
      <c r="E450" t="s">
        <v>55</v>
      </c>
      <c r="F450" t="s">
        <v>56</v>
      </c>
      <c r="G450" t="s">
        <v>20</v>
      </c>
      <c r="H450" t="s">
        <v>41</v>
      </c>
      <c r="I450" t="s">
        <v>42</v>
      </c>
      <c r="J450">
        <v>6</v>
      </c>
      <c r="K450">
        <v>656.62</v>
      </c>
      <c r="L450">
        <v>3939.72</v>
      </c>
      <c r="M450">
        <v>0.2</v>
      </c>
      <c r="N450">
        <v>371.46</v>
      </c>
      <c r="O450" t="s">
        <v>37</v>
      </c>
    </row>
    <row r="451" spans="1:15" x14ac:dyDescent="0.2">
      <c r="A451" t="s">
        <v>533</v>
      </c>
      <c r="B451" s="1">
        <v>45733</v>
      </c>
      <c r="C451" t="s">
        <v>16</v>
      </c>
      <c r="D451" t="s">
        <v>33</v>
      </c>
      <c r="E451" t="s">
        <v>34</v>
      </c>
      <c r="F451" t="s">
        <v>35</v>
      </c>
      <c r="G451" t="s">
        <v>57</v>
      </c>
      <c r="H451" t="s">
        <v>41</v>
      </c>
      <c r="I451" t="s">
        <v>42</v>
      </c>
      <c r="J451">
        <v>10</v>
      </c>
      <c r="K451">
        <v>659.65</v>
      </c>
      <c r="L451">
        <v>6596.5</v>
      </c>
      <c r="M451">
        <v>0.2</v>
      </c>
      <c r="N451">
        <v>1011.64</v>
      </c>
      <c r="O451" t="s">
        <v>49</v>
      </c>
    </row>
    <row r="452" spans="1:15" x14ac:dyDescent="0.2">
      <c r="A452" t="s">
        <v>534</v>
      </c>
      <c r="B452" s="1">
        <v>45779</v>
      </c>
      <c r="C452" t="s">
        <v>44</v>
      </c>
      <c r="D452" t="s">
        <v>238</v>
      </c>
      <c r="E452" t="s">
        <v>143</v>
      </c>
      <c r="F452" t="s">
        <v>35</v>
      </c>
      <c r="G452" t="s">
        <v>20</v>
      </c>
      <c r="H452" t="s">
        <v>66</v>
      </c>
      <c r="I452" t="s">
        <v>81</v>
      </c>
      <c r="J452">
        <v>2</v>
      </c>
      <c r="K452">
        <v>46.84</v>
      </c>
      <c r="L452">
        <v>93.68</v>
      </c>
      <c r="M452">
        <v>0.05</v>
      </c>
      <c r="N452">
        <v>8.57</v>
      </c>
      <c r="O452" t="s">
        <v>49</v>
      </c>
    </row>
    <row r="453" spans="1:15" x14ac:dyDescent="0.2">
      <c r="A453" t="s">
        <v>535</v>
      </c>
      <c r="B453" s="1">
        <v>45722</v>
      </c>
      <c r="C453" t="s">
        <v>39</v>
      </c>
      <c r="D453" t="s">
        <v>130</v>
      </c>
      <c r="E453" t="s">
        <v>101</v>
      </c>
      <c r="F453" t="s">
        <v>56</v>
      </c>
      <c r="G453" t="s">
        <v>36</v>
      </c>
      <c r="H453" t="s">
        <v>21</v>
      </c>
      <c r="I453" t="s">
        <v>29</v>
      </c>
      <c r="J453">
        <v>7</v>
      </c>
      <c r="K453">
        <v>756.3</v>
      </c>
      <c r="L453">
        <v>5294.1</v>
      </c>
      <c r="M453">
        <v>0.15</v>
      </c>
      <c r="N453">
        <v>1055.1300000000001</v>
      </c>
      <c r="O453" t="s">
        <v>37</v>
      </c>
    </row>
    <row r="454" spans="1:15" x14ac:dyDescent="0.2">
      <c r="A454" t="s">
        <v>536</v>
      </c>
      <c r="B454" s="1">
        <v>45741</v>
      </c>
      <c r="C454" t="s">
        <v>16</v>
      </c>
      <c r="D454" t="s">
        <v>154</v>
      </c>
      <c r="E454" t="s">
        <v>120</v>
      </c>
      <c r="F454" t="s">
        <v>28</v>
      </c>
      <c r="G454" t="s">
        <v>57</v>
      </c>
      <c r="H454" t="s">
        <v>21</v>
      </c>
      <c r="I454" t="s">
        <v>22</v>
      </c>
      <c r="J454">
        <v>3</v>
      </c>
      <c r="K454">
        <v>322.52</v>
      </c>
      <c r="L454">
        <v>967.56</v>
      </c>
      <c r="M454">
        <v>0.15</v>
      </c>
      <c r="N454">
        <v>103.24</v>
      </c>
      <c r="O454" t="s">
        <v>30</v>
      </c>
    </row>
    <row r="455" spans="1:15" x14ac:dyDescent="0.2">
      <c r="A455" t="s">
        <v>537</v>
      </c>
      <c r="B455" s="1">
        <v>45751</v>
      </c>
      <c r="C455" t="s">
        <v>25</v>
      </c>
      <c r="D455" t="s">
        <v>40</v>
      </c>
      <c r="E455" t="s">
        <v>34</v>
      </c>
      <c r="F455" t="s">
        <v>35</v>
      </c>
      <c r="G455" t="s">
        <v>36</v>
      </c>
      <c r="H455" t="s">
        <v>41</v>
      </c>
      <c r="I455" t="s">
        <v>63</v>
      </c>
      <c r="J455">
        <v>3</v>
      </c>
      <c r="K455">
        <v>435.19</v>
      </c>
      <c r="L455">
        <v>1305.57</v>
      </c>
      <c r="M455">
        <v>0.2</v>
      </c>
      <c r="N455">
        <v>221.15</v>
      </c>
      <c r="O455" t="s">
        <v>37</v>
      </c>
    </row>
    <row r="456" spans="1:15" x14ac:dyDescent="0.2">
      <c r="A456" t="s">
        <v>538</v>
      </c>
      <c r="B456" s="1">
        <v>45687</v>
      </c>
      <c r="C456" t="s">
        <v>39</v>
      </c>
      <c r="D456" t="s">
        <v>69</v>
      </c>
      <c r="E456" t="s">
        <v>27</v>
      </c>
      <c r="F456" t="s">
        <v>28</v>
      </c>
      <c r="G456" t="s">
        <v>36</v>
      </c>
      <c r="H456" t="s">
        <v>41</v>
      </c>
      <c r="I456" t="s">
        <v>63</v>
      </c>
      <c r="J456">
        <v>1</v>
      </c>
      <c r="K456">
        <v>360.84</v>
      </c>
      <c r="L456">
        <v>360.84</v>
      </c>
      <c r="M456">
        <v>0.15</v>
      </c>
      <c r="N456">
        <v>50.2</v>
      </c>
      <c r="O456" t="s">
        <v>37</v>
      </c>
    </row>
    <row r="457" spans="1:15" x14ac:dyDescent="0.2">
      <c r="A457" t="s">
        <v>539</v>
      </c>
      <c r="B457" s="1">
        <v>45470</v>
      </c>
      <c r="C457" t="s">
        <v>39</v>
      </c>
      <c r="D457" t="s">
        <v>17</v>
      </c>
      <c r="E457" t="s">
        <v>18</v>
      </c>
      <c r="F457" t="s">
        <v>19</v>
      </c>
      <c r="G457" t="s">
        <v>36</v>
      </c>
      <c r="H457" t="s">
        <v>21</v>
      </c>
      <c r="I457" t="s">
        <v>22</v>
      </c>
      <c r="J457">
        <v>9</v>
      </c>
      <c r="K457">
        <v>353.4</v>
      </c>
      <c r="L457">
        <v>3180.6</v>
      </c>
      <c r="M457">
        <v>0.2</v>
      </c>
      <c r="N457">
        <v>585.11</v>
      </c>
      <c r="O457" t="s">
        <v>49</v>
      </c>
    </row>
    <row r="458" spans="1:15" x14ac:dyDescent="0.2">
      <c r="A458" t="s">
        <v>540</v>
      </c>
      <c r="B458" s="1">
        <v>45537</v>
      </c>
      <c r="C458" t="s">
        <v>32</v>
      </c>
      <c r="D458" t="s">
        <v>100</v>
      </c>
      <c r="E458" t="s">
        <v>101</v>
      </c>
      <c r="F458" t="s">
        <v>56</v>
      </c>
      <c r="G458" t="s">
        <v>20</v>
      </c>
      <c r="H458" t="s">
        <v>41</v>
      </c>
      <c r="I458" t="s">
        <v>63</v>
      </c>
      <c r="J458">
        <v>3</v>
      </c>
      <c r="K458">
        <v>782.82</v>
      </c>
      <c r="L458">
        <v>2348.46</v>
      </c>
      <c r="M458">
        <v>0.1</v>
      </c>
      <c r="N458">
        <v>148.34</v>
      </c>
      <c r="O458" t="s">
        <v>30</v>
      </c>
    </row>
    <row r="459" spans="1:15" x14ac:dyDescent="0.2">
      <c r="A459" t="s">
        <v>541</v>
      </c>
      <c r="B459" s="1">
        <v>45815</v>
      </c>
      <c r="C459" t="s">
        <v>32</v>
      </c>
      <c r="D459" t="s">
        <v>26</v>
      </c>
      <c r="E459" t="s">
        <v>27</v>
      </c>
      <c r="F459" t="s">
        <v>28</v>
      </c>
      <c r="G459" t="s">
        <v>36</v>
      </c>
      <c r="H459" t="s">
        <v>47</v>
      </c>
      <c r="I459" t="s">
        <v>77</v>
      </c>
      <c r="J459">
        <v>5</v>
      </c>
      <c r="K459">
        <v>391.65</v>
      </c>
      <c r="L459">
        <v>1958.25</v>
      </c>
      <c r="M459">
        <v>0.1</v>
      </c>
      <c r="N459">
        <v>112.07</v>
      </c>
      <c r="O459" t="s">
        <v>23</v>
      </c>
    </row>
    <row r="460" spans="1:15" x14ac:dyDescent="0.2">
      <c r="A460" t="s">
        <v>542</v>
      </c>
      <c r="B460" s="1">
        <v>45620</v>
      </c>
      <c r="C460" t="s">
        <v>44</v>
      </c>
      <c r="D460" t="s">
        <v>69</v>
      </c>
      <c r="E460" t="s">
        <v>27</v>
      </c>
      <c r="F460" t="s">
        <v>28</v>
      </c>
      <c r="G460" t="s">
        <v>20</v>
      </c>
      <c r="H460" t="s">
        <v>41</v>
      </c>
      <c r="I460" t="s">
        <v>42</v>
      </c>
      <c r="J460">
        <v>7</v>
      </c>
      <c r="K460">
        <v>619.41</v>
      </c>
      <c r="L460">
        <v>4335.87</v>
      </c>
      <c r="M460">
        <v>0.2</v>
      </c>
      <c r="N460">
        <v>657.33</v>
      </c>
      <c r="O460" t="s">
        <v>23</v>
      </c>
    </row>
    <row r="461" spans="1:15" x14ac:dyDescent="0.2">
      <c r="A461" t="s">
        <v>543</v>
      </c>
      <c r="B461" s="1">
        <v>45611</v>
      </c>
      <c r="C461" t="s">
        <v>32</v>
      </c>
      <c r="D461" t="s">
        <v>142</v>
      </c>
      <c r="E461" t="s">
        <v>143</v>
      </c>
      <c r="F461" t="s">
        <v>35</v>
      </c>
      <c r="G461" t="s">
        <v>57</v>
      </c>
      <c r="H461" t="s">
        <v>21</v>
      </c>
      <c r="I461" t="s">
        <v>29</v>
      </c>
      <c r="J461">
        <v>5</v>
      </c>
      <c r="K461">
        <v>202.11</v>
      </c>
      <c r="L461">
        <v>1010.55</v>
      </c>
      <c r="M461">
        <v>0</v>
      </c>
      <c r="N461">
        <v>78.680000000000007</v>
      </c>
      <c r="O461" t="s">
        <v>49</v>
      </c>
    </row>
    <row r="462" spans="1:15" x14ac:dyDescent="0.2">
      <c r="A462" t="s">
        <v>544</v>
      </c>
      <c r="B462" s="1">
        <v>45696</v>
      </c>
      <c r="C462" t="s">
        <v>32</v>
      </c>
      <c r="D462" t="s">
        <v>119</v>
      </c>
      <c r="E462" t="s">
        <v>120</v>
      </c>
      <c r="F462" t="s">
        <v>28</v>
      </c>
      <c r="G462" t="s">
        <v>20</v>
      </c>
      <c r="H462" t="s">
        <v>66</v>
      </c>
      <c r="I462" t="s">
        <v>73</v>
      </c>
      <c r="J462">
        <v>6</v>
      </c>
      <c r="K462">
        <v>981.09</v>
      </c>
      <c r="L462">
        <v>5886.54</v>
      </c>
      <c r="M462">
        <v>0.15</v>
      </c>
      <c r="N462">
        <v>848.75</v>
      </c>
      <c r="O462" t="s">
        <v>30</v>
      </c>
    </row>
    <row r="463" spans="1:15" x14ac:dyDescent="0.2">
      <c r="A463" t="s">
        <v>545</v>
      </c>
      <c r="B463" s="1">
        <v>45526</v>
      </c>
      <c r="C463" t="s">
        <v>32</v>
      </c>
      <c r="D463" t="s">
        <v>113</v>
      </c>
      <c r="E463" t="s">
        <v>91</v>
      </c>
      <c r="F463" t="s">
        <v>19</v>
      </c>
      <c r="G463" t="s">
        <v>36</v>
      </c>
      <c r="H463" t="s">
        <v>21</v>
      </c>
      <c r="I463" t="s">
        <v>29</v>
      </c>
      <c r="J463">
        <v>9</v>
      </c>
      <c r="K463">
        <v>226.79</v>
      </c>
      <c r="L463">
        <v>2041.11</v>
      </c>
      <c r="M463">
        <v>0.1</v>
      </c>
      <c r="N463">
        <v>250.39</v>
      </c>
      <c r="O463" t="s">
        <v>49</v>
      </c>
    </row>
    <row r="464" spans="1:15" x14ac:dyDescent="0.2">
      <c r="A464" t="s">
        <v>546</v>
      </c>
      <c r="B464" s="1">
        <v>45569</v>
      </c>
      <c r="C464" t="s">
        <v>39</v>
      </c>
      <c r="D464" t="s">
        <v>154</v>
      </c>
      <c r="E464" t="s">
        <v>120</v>
      </c>
      <c r="F464" t="s">
        <v>28</v>
      </c>
      <c r="G464" t="s">
        <v>20</v>
      </c>
      <c r="H464" t="s">
        <v>66</v>
      </c>
      <c r="I464" t="s">
        <v>81</v>
      </c>
      <c r="J464">
        <v>1</v>
      </c>
      <c r="K464">
        <v>553.39</v>
      </c>
      <c r="L464">
        <v>553.39</v>
      </c>
      <c r="M464">
        <v>0</v>
      </c>
      <c r="N464">
        <v>70.52</v>
      </c>
      <c r="O464" t="s">
        <v>49</v>
      </c>
    </row>
    <row r="465" spans="1:15" x14ac:dyDescent="0.2">
      <c r="A465" t="s">
        <v>547</v>
      </c>
      <c r="B465" s="1">
        <v>45607</v>
      </c>
      <c r="C465" t="s">
        <v>44</v>
      </c>
      <c r="D465" t="s">
        <v>90</v>
      </c>
      <c r="E465" t="s">
        <v>91</v>
      </c>
      <c r="F465" t="s">
        <v>19</v>
      </c>
      <c r="G465" t="s">
        <v>36</v>
      </c>
      <c r="H465" t="s">
        <v>47</v>
      </c>
      <c r="I465" t="s">
        <v>48</v>
      </c>
      <c r="J465">
        <v>8</v>
      </c>
      <c r="K465">
        <v>119.76</v>
      </c>
      <c r="L465">
        <v>958.08</v>
      </c>
      <c r="M465">
        <v>0.2</v>
      </c>
      <c r="N465">
        <v>188.94</v>
      </c>
      <c r="O465" t="s">
        <v>30</v>
      </c>
    </row>
    <row r="466" spans="1:15" x14ac:dyDescent="0.2">
      <c r="A466" t="s">
        <v>548</v>
      </c>
      <c r="B466" s="1">
        <v>45545</v>
      </c>
      <c r="C466" t="s">
        <v>32</v>
      </c>
      <c r="D466" t="s">
        <v>90</v>
      </c>
      <c r="E466" t="s">
        <v>91</v>
      </c>
      <c r="F466" t="s">
        <v>19</v>
      </c>
      <c r="G466" t="s">
        <v>36</v>
      </c>
      <c r="H466" t="s">
        <v>66</v>
      </c>
      <c r="I466" t="s">
        <v>67</v>
      </c>
      <c r="J466">
        <v>2</v>
      </c>
      <c r="K466">
        <v>589.44000000000005</v>
      </c>
      <c r="L466">
        <v>1178.8800000000001</v>
      </c>
      <c r="M466">
        <v>0.05</v>
      </c>
      <c r="N466">
        <v>148.52000000000001</v>
      </c>
      <c r="O466" t="s">
        <v>37</v>
      </c>
    </row>
    <row r="467" spans="1:15" x14ac:dyDescent="0.2">
      <c r="A467" t="s">
        <v>549</v>
      </c>
      <c r="B467" s="1">
        <v>45571</v>
      </c>
      <c r="C467" t="s">
        <v>32</v>
      </c>
      <c r="D467" t="s">
        <v>60</v>
      </c>
      <c r="E467" t="s">
        <v>61</v>
      </c>
      <c r="F467" t="s">
        <v>19</v>
      </c>
      <c r="G467" t="s">
        <v>36</v>
      </c>
      <c r="H467" t="s">
        <v>21</v>
      </c>
      <c r="I467" t="s">
        <v>52</v>
      </c>
      <c r="J467">
        <v>3</v>
      </c>
      <c r="K467">
        <v>284.02999999999997</v>
      </c>
      <c r="L467">
        <v>852.09</v>
      </c>
      <c r="M467">
        <v>0.1</v>
      </c>
      <c r="N467">
        <v>91.97</v>
      </c>
      <c r="O467" t="s">
        <v>49</v>
      </c>
    </row>
    <row r="468" spans="1:15" x14ac:dyDescent="0.2">
      <c r="A468" t="s">
        <v>550</v>
      </c>
      <c r="B468" s="1">
        <v>45768</v>
      </c>
      <c r="C468" t="s">
        <v>16</v>
      </c>
      <c r="D468" t="s">
        <v>17</v>
      </c>
      <c r="E468" t="s">
        <v>18</v>
      </c>
      <c r="F468" t="s">
        <v>19</v>
      </c>
      <c r="G468" t="s">
        <v>20</v>
      </c>
      <c r="H468" t="s">
        <v>41</v>
      </c>
      <c r="I468" t="s">
        <v>42</v>
      </c>
      <c r="J468">
        <v>2</v>
      </c>
      <c r="K468">
        <v>78.23</v>
      </c>
      <c r="L468">
        <v>156.46</v>
      </c>
      <c r="M468">
        <v>0.2</v>
      </c>
      <c r="N468">
        <v>11.41</v>
      </c>
      <c r="O468" t="s">
        <v>30</v>
      </c>
    </row>
    <row r="469" spans="1:15" x14ac:dyDescent="0.2">
      <c r="A469" t="s">
        <v>551</v>
      </c>
      <c r="B469" s="1">
        <v>45637</v>
      </c>
      <c r="C469" t="s">
        <v>25</v>
      </c>
      <c r="D469" t="s">
        <v>124</v>
      </c>
      <c r="E469" t="s">
        <v>55</v>
      </c>
      <c r="F469" t="s">
        <v>56</v>
      </c>
      <c r="G469" t="s">
        <v>20</v>
      </c>
      <c r="H469" t="s">
        <v>66</v>
      </c>
      <c r="I469" t="s">
        <v>81</v>
      </c>
      <c r="J469">
        <v>4</v>
      </c>
      <c r="K469">
        <v>527.79</v>
      </c>
      <c r="L469">
        <v>2111.16</v>
      </c>
      <c r="M469">
        <v>0.1</v>
      </c>
      <c r="N469">
        <v>216.17</v>
      </c>
      <c r="O469" t="s">
        <v>23</v>
      </c>
    </row>
    <row r="470" spans="1:15" x14ac:dyDescent="0.2">
      <c r="A470" t="s">
        <v>552</v>
      </c>
      <c r="B470" s="1">
        <v>45662</v>
      </c>
      <c r="C470" t="s">
        <v>25</v>
      </c>
      <c r="D470" t="s">
        <v>40</v>
      </c>
      <c r="E470" t="s">
        <v>34</v>
      </c>
      <c r="F470" t="s">
        <v>35</v>
      </c>
      <c r="G470" t="s">
        <v>36</v>
      </c>
      <c r="H470" t="s">
        <v>21</v>
      </c>
      <c r="I470" t="s">
        <v>52</v>
      </c>
      <c r="J470">
        <v>3</v>
      </c>
      <c r="K470">
        <v>841.74</v>
      </c>
      <c r="L470">
        <v>2525.2199999999998</v>
      </c>
      <c r="M470">
        <v>0.2</v>
      </c>
      <c r="N470">
        <v>194.15</v>
      </c>
      <c r="O470" t="s">
        <v>37</v>
      </c>
    </row>
    <row r="471" spans="1:15" x14ac:dyDescent="0.2">
      <c r="A471" t="s">
        <v>553</v>
      </c>
      <c r="B471" s="1">
        <v>45531</v>
      </c>
      <c r="C471" t="s">
        <v>32</v>
      </c>
      <c r="D471" t="s">
        <v>142</v>
      </c>
      <c r="E471" t="s">
        <v>143</v>
      </c>
      <c r="F471" t="s">
        <v>35</v>
      </c>
      <c r="G471" t="s">
        <v>36</v>
      </c>
      <c r="H471" t="s">
        <v>41</v>
      </c>
      <c r="I471" t="s">
        <v>63</v>
      </c>
      <c r="J471">
        <v>8</v>
      </c>
      <c r="K471">
        <v>953.14</v>
      </c>
      <c r="L471">
        <v>7625.12</v>
      </c>
      <c r="M471">
        <v>0</v>
      </c>
      <c r="N471">
        <v>1142.0999999999999</v>
      </c>
      <c r="O471" t="s">
        <v>49</v>
      </c>
    </row>
    <row r="472" spans="1:15" x14ac:dyDescent="0.2">
      <c r="A472" t="s">
        <v>554</v>
      </c>
      <c r="B472" s="1">
        <v>45577</v>
      </c>
      <c r="C472" t="s">
        <v>25</v>
      </c>
      <c r="D472" t="s">
        <v>238</v>
      </c>
      <c r="E472" t="s">
        <v>143</v>
      </c>
      <c r="F472" t="s">
        <v>35</v>
      </c>
      <c r="G472" t="s">
        <v>36</v>
      </c>
      <c r="H472" t="s">
        <v>21</v>
      </c>
      <c r="I472" t="s">
        <v>22</v>
      </c>
      <c r="J472">
        <v>5</v>
      </c>
      <c r="K472">
        <v>854.87</v>
      </c>
      <c r="L472">
        <v>4274.3500000000004</v>
      </c>
      <c r="M472">
        <v>0.15</v>
      </c>
      <c r="N472">
        <v>541.61</v>
      </c>
      <c r="O472" t="s">
        <v>30</v>
      </c>
    </row>
    <row r="473" spans="1:15" x14ac:dyDescent="0.2">
      <c r="A473" t="s">
        <v>555</v>
      </c>
      <c r="B473" s="1">
        <v>45586</v>
      </c>
      <c r="C473" t="s">
        <v>39</v>
      </c>
      <c r="D473" t="s">
        <v>107</v>
      </c>
      <c r="E473" t="s">
        <v>96</v>
      </c>
      <c r="F473" t="s">
        <v>56</v>
      </c>
      <c r="G473" t="s">
        <v>57</v>
      </c>
      <c r="H473" t="s">
        <v>47</v>
      </c>
      <c r="I473" t="s">
        <v>58</v>
      </c>
      <c r="J473">
        <v>7</v>
      </c>
      <c r="K473">
        <v>533.42999999999995</v>
      </c>
      <c r="L473">
        <v>3734.01</v>
      </c>
      <c r="M473">
        <v>0.1</v>
      </c>
      <c r="N473">
        <v>189.07</v>
      </c>
      <c r="O473" t="s">
        <v>37</v>
      </c>
    </row>
    <row r="474" spans="1:15" x14ac:dyDescent="0.2">
      <c r="A474" t="s">
        <v>556</v>
      </c>
      <c r="B474" s="1">
        <v>45483</v>
      </c>
      <c r="C474" t="s">
        <v>32</v>
      </c>
      <c r="D474" t="s">
        <v>33</v>
      </c>
      <c r="E474" t="s">
        <v>34</v>
      </c>
      <c r="F474" t="s">
        <v>35</v>
      </c>
      <c r="G474" t="s">
        <v>57</v>
      </c>
      <c r="H474" t="s">
        <v>66</v>
      </c>
      <c r="I474" t="s">
        <v>81</v>
      </c>
      <c r="J474">
        <v>7</v>
      </c>
      <c r="K474">
        <v>783.05</v>
      </c>
      <c r="L474">
        <v>5481.35</v>
      </c>
      <c r="M474">
        <v>0</v>
      </c>
      <c r="N474">
        <v>1159.19</v>
      </c>
      <c r="O474" t="s">
        <v>49</v>
      </c>
    </row>
    <row r="475" spans="1:15" x14ac:dyDescent="0.2">
      <c r="A475" t="s">
        <v>557</v>
      </c>
      <c r="B475" s="1">
        <v>45809</v>
      </c>
      <c r="C475" t="s">
        <v>16</v>
      </c>
      <c r="D475" t="s">
        <v>238</v>
      </c>
      <c r="E475" t="s">
        <v>143</v>
      </c>
      <c r="F475" t="s">
        <v>35</v>
      </c>
      <c r="G475" t="s">
        <v>20</v>
      </c>
      <c r="H475" t="s">
        <v>47</v>
      </c>
      <c r="I475" t="s">
        <v>48</v>
      </c>
      <c r="J475">
        <v>3</v>
      </c>
      <c r="K475">
        <v>960.38</v>
      </c>
      <c r="L475">
        <v>2881.14</v>
      </c>
      <c r="M475">
        <v>0.15</v>
      </c>
      <c r="N475">
        <v>487.66</v>
      </c>
      <c r="O475" t="s">
        <v>23</v>
      </c>
    </row>
    <row r="476" spans="1:15" x14ac:dyDescent="0.2">
      <c r="A476" t="s">
        <v>558</v>
      </c>
      <c r="B476" s="1">
        <v>45459</v>
      </c>
      <c r="C476" t="s">
        <v>32</v>
      </c>
      <c r="D476" t="s">
        <v>71</v>
      </c>
      <c r="E476" t="s">
        <v>72</v>
      </c>
      <c r="F476" t="s">
        <v>28</v>
      </c>
      <c r="G476" t="s">
        <v>36</v>
      </c>
      <c r="H476" t="s">
        <v>41</v>
      </c>
      <c r="I476" t="s">
        <v>63</v>
      </c>
      <c r="J476">
        <v>6</v>
      </c>
      <c r="K476">
        <v>571.94000000000005</v>
      </c>
      <c r="L476">
        <v>3431.64</v>
      </c>
      <c r="M476">
        <v>0</v>
      </c>
      <c r="N476">
        <v>594.04999999999995</v>
      </c>
      <c r="O476" t="s">
        <v>23</v>
      </c>
    </row>
    <row r="477" spans="1:15" x14ac:dyDescent="0.2">
      <c r="A477" t="s">
        <v>559</v>
      </c>
      <c r="B477" s="1">
        <v>45567</v>
      </c>
      <c r="C477" t="s">
        <v>32</v>
      </c>
      <c r="D477" t="s">
        <v>142</v>
      </c>
      <c r="E477" t="s">
        <v>143</v>
      </c>
      <c r="F477" t="s">
        <v>35</v>
      </c>
      <c r="G477" t="s">
        <v>57</v>
      </c>
      <c r="H477" t="s">
        <v>66</v>
      </c>
      <c r="I477" t="s">
        <v>67</v>
      </c>
      <c r="J477">
        <v>5</v>
      </c>
      <c r="K477">
        <v>847.9</v>
      </c>
      <c r="L477">
        <v>4239.5</v>
      </c>
      <c r="M477">
        <v>0.15</v>
      </c>
      <c r="N477">
        <v>513.66999999999996</v>
      </c>
      <c r="O477" t="s">
        <v>23</v>
      </c>
    </row>
    <row r="478" spans="1:15" x14ac:dyDescent="0.2">
      <c r="A478" t="s">
        <v>560</v>
      </c>
      <c r="B478" s="1">
        <v>45560</v>
      </c>
      <c r="C478" t="s">
        <v>16</v>
      </c>
      <c r="D478" t="s">
        <v>95</v>
      </c>
      <c r="E478" t="s">
        <v>96</v>
      </c>
      <c r="F478" t="s">
        <v>56</v>
      </c>
      <c r="G478" t="s">
        <v>20</v>
      </c>
      <c r="H478" t="s">
        <v>47</v>
      </c>
      <c r="I478" t="s">
        <v>77</v>
      </c>
      <c r="J478">
        <v>7</v>
      </c>
      <c r="K478">
        <v>60.47</v>
      </c>
      <c r="L478">
        <v>423.29</v>
      </c>
      <c r="M478">
        <v>0</v>
      </c>
      <c r="N478">
        <v>44.57</v>
      </c>
      <c r="O478" t="s">
        <v>37</v>
      </c>
    </row>
    <row r="479" spans="1:15" x14ac:dyDescent="0.2">
      <c r="A479" t="s">
        <v>561</v>
      </c>
      <c r="B479" s="1">
        <v>45475</v>
      </c>
      <c r="C479" t="s">
        <v>25</v>
      </c>
      <c r="D479" t="s">
        <v>95</v>
      </c>
      <c r="E479" t="s">
        <v>96</v>
      </c>
      <c r="F479" t="s">
        <v>56</v>
      </c>
      <c r="G479" t="s">
        <v>57</v>
      </c>
      <c r="H479" t="s">
        <v>66</v>
      </c>
      <c r="I479" t="s">
        <v>81</v>
      </c>
      <c r="J479">
        <v>3</v>
      </c>
      <c r="K479">
        <v>228.96</v>
      </c>
      <c r="L479">
        <v>686.88</v>
      </c>
      <c r="M479">
        <v>0.05</v>
      </c>
      <c r="N479">
        <v>51.8</v>
      </c>
      <c r="O479" t="s">
        <v>49</v>
      </c>
    </row>
    <row r="480" spans="1:15" x14ac:dyDescent="0.2">
      <c r="A480" t="s">
        <v>562</v>
      </c>
      <c r="B480" s="1">
        <v>45677</v>
      </c>
      <c r="C480" t="s">
        <v>39</v>
      </c>
      <c r="D480" t="s">
        <v>69</v>
      </c>
      <c r="E480" t="s">
        <v>27</v>
      </c>
      <c r="F480" t="s">
        <v>28</v>
      </c>
      <c r="G480" t="s">
        <v>20</v>
      </c>
      <c r="H480" t="s">
        <v>21</v>
      </c>
      <c r="I480" t="s">
        <v>79</v>
      </c>
      <c r="J480">
        <v>10</v>
      </c>
      <c r="K480">
        <v>318.7</v>
      </c>
      <c r="L480">
        <v>3187</v>
      </c>
      <c r="M480">
        <v>0.2</v>
      </c>
      <c r="N480">
        <v>493.28</v>
      </c>
      <c r="O480" t="s">
        <v>49</v>
      </c>
    </row>
    <row r="481" spans="1:15" x14ac:dyDescent="0.2">
      <c r="A481" t="s">
        <v>563</v>
      </c>
      <c r="B481" s="1">
        <v>45711</v>
      </c>
      <c r="C481" t="s">
        <v>44</v>
      </c>
      <c r="D481" t="s">
        <v>51</v>
      </c>
      <c r="E481" t="s">
        <v>46</v>
      </c>
      <c r="F481" t="s">
        <v>35</v>
      </c>
      <c r="G481" t="s">
        <v>20</v>
      </c>
      <c r="H481" t="s">
        <v>21</v>
      </c>
      <c r="I481" t="s">
        <v>22</v>
      </c>
      <c r="J481">
        <v>10</v>
      </c>
      <c r="K481">
        <v>236.23</v>
      </c>
      <c r="L481">
        <v>2362.3000000000002</v>
      </c>
      <c r="M481">
        <v>0</v>
      </c>
      <c r="N481">
        <v>154.72</v>
      </c>
      <c r="O481" t="s">
        <v>30</v>
      </c>
    </row>
    <row r="482" spans="1:15" x14ac:dyDescent="0.2">
      <c r="A482" t="s">
        <v>564</v>
      </c>
      <c r="B482" s="1">
        <v>45592</v>
      </c>
      <c r="C482" t="s">
        <v>25</v>
      </c>
      <c r="D482" t="s">
        <v>154</v>
      </c>
      <c r="E482" t="s">
        <v>120</v>
      </c>
      <c r="F482" t="s">
        <v>28</v>
      </c>
      <c r="G482" t="s">
        <v>20</v>
      </c>
      <c r="H482" t="s">
        <v>47</v>
      </c>
      <c r="I482" t="s">
        <v>77</v>
      </c>
      <c r="J482">
        <v>7</v>
      </c>
      <c r="K482">
        <v>73.25</v>
      </c>
      <c r="L482">
        <v>512.75</v>
      </c>
      <c r="M482">
        <v>0.15</v>
      </c>
      <c r="N482">
        <v>98.14</v>
      </c>
      <c r="O482" t="s">
        <v>23</v>
      </c>
    </row>
    <row r="483" spans="1:15" x14ac:dyDescent="0.2">
      <c r="A483" t="s">
        <v>565</v>
      </c>
      <c r="B483" s="1">
        <v>45625</v>
      </c>
      <c r="C483" t="s">
        <v>25</v>
      </c>
      <c r="D483" t="s">
        <v>238</v>
      </c>
      <c r="E483" t="s">
        <v>143</v>
      </c>
      <c r="F483" t="s">
        <v>35</v>
      </c>
      <c r="G483" t="s">
        <v>57</v>
      </c>
      <c r="H483" t="s">
        <v>41</v>
      </c>
      <c r="I483" t="s">
        <v>63</v>
      </c>
      <c r="J483">
        <v>8</v>
      </c>
      <c r="K483">
        <v>942.59</v>
      </c>
      <c r="L483">
        <v>7540.72</v>
      </c>
      <c r="M483">
        <v>0.1</v>
      </c>
      <c r="N483">
        <v>1183.48</v>
      </c>
      <c r="O483" t="s">
        <v>23</v>
      </c>
    </row>
    <row r="484" spans="1:15" x14ac:dyDescent="0.2">
      <c r="A484" t="s">
        <v>566</v>
      </c>
      <c r="B484" s="1">
        <v>45742</v>
      </c>
      <c r="C484" t="s">
        <v>44</v>
      </c>
      <c r="D484" t="s">
        <v>104</v>
      </c>
      <c r="E484" t="s">
        <v>72</v>
      </c>
      <c r="F484" t="s">
        <v>28</v>
      </c>
      <c r="G484" t="s">
        <v>36</v>
      </c>
      <c r="H484" t="s">
        <v>41</v>
      </c>
      <c r="I484" t="s">
        <v>42</v>
      </c>
      <c r="J484">
        <v>10</v>
      </c>
      <c r="K484">
        <v>213.06</v>
      </c>
      <c r="L484">
        <v>2130.6</v>
      </c>
      <c r="M484">
        <v>0.1</v>
      </c>
      <c r="N484">
        <v>291.77</v>
      </c>
      <c r="O484" t="s">
        <v>30</v>
      </c>
    </row>
    <row r="485" spans="1:15" x14ac:dyDescent="0.2">
      <c r="A485" t="s">
        <v>567</v>
      </c>
      <c r="B485" s="1">
        <v>45638</v>
      </c>
      <c r="C485" t="s">
        <v>39</v>
      </c>
      <c r="D485" t="s">
        <v>54</v>
      </c>
      <c r="E485" t="s">
        <v>55</v>
      </c>
      <c r="F485" t="s">
        <v>56</v>
      </c>
      <c r="G485" t="s">
        <v>57</v>
      </c>
      <c r="H485" t="s">
        <v>66</v>
      </c>
      <c r="I485" t="s">
        <v>81</v>
      </c>
      <c r="J485">
        <v>2</v>
      </c>
      <c r="K485">
        <v>958.71</v>
      </c>
      <c r="L485">
        <v>1917.42</v>
      </c>
      <c r="M485">
        <v>0.05</v>
      </c>
      <c r="N485">
        <v>297.06</v>
      </c>
      <c r="O485" t="s">
        <v>30</v>
      </c>
    </row>
    <row r="486" spans="1:15" x14ac:dyDescent="0.2">
      <c r="A486" t="s">
        <v>568</v>
      </c>
      <c r="B486" s="1">
        <v>45546</v>
      </c>
      <c r="C486" t="s">
        <v>44</v>
      </c>
      <c r="D486" t="s">
        <v>69</v>
      </c>
      <c r="E486" t="s">
        <v>27</v>
      </c>
      <c r="F486" t="s">
        <v>28</v>
      </c>
      <c r="G486" t="s">
        <v>57</v>
      </c>
      <c r="H486" t="s">
        <v>47</v>
      </c>
      <c r="I486" t="s">
        <v>48</v>
      </c>
      <c r="J486">
        <v>6</v>
      </c>
      <c r="K486">
        <v>270.64</v>
      </c>
      <c r="L486">
        <v>1623.84</v>
      </c>
      <c r="M486">
        <v>0.2</v>
      </c>
      <c r="N486">
        <v>141.1</v>
      </c>
      <c r="O486" t="s">
        <v>49</v>
      </c>
    </row>
    <row r="487" spans="1:15" x14ac:dyDescent="0.2">
      <c r="A487" t="s">
        <v>569</v>
      </c>
      <c r="B487" s="1">
        <v>45507</v>
      </c>
      <c r="C487" t="s">
        <v>16</v>
      </c>
      <c r="D487" t="s">
        <v>113</v>
      </c>
      <c r="E487" t="s">
        <v>91</v>
      </c>
      <c r="F487" t="s">
        <v>19</v>
      </c>
      <c r="G487" t="s">
        <v>57</v>
      </c>
      <c r="H487" t="s">
        <v>41</v>
      </c>
      <c r="I487" t="s">
        <v>42</v>
      </c>
      <c r="J487">
        <v>4</v>
      </c>
      <c r="K487">
        <v>446.12</v>
      </c>
      <c r="L487">
        <v>1784.48</v>
      </c>
      <c r="M487">
        <v>0.15</v>
      </c>
      <c r="N487">
        <v>185.62</v>
      </c>
      <c r="O487" t="s">
        <v>30</v>
      </c>
    </row>
    <row r="488" spans="1:15" x14ac:dyDescent="0.2">
      <c r="A488" t="s">
        <v>570</v>
      </c>
      <c r="B488" s="1">
        <v>45497</v>
      </c>
      <c r="C488" t="s">
        <v>44</v>
      </c>
      <c r="D488" t="s">
        <v>71</v>
      </c>
      <c r="E488" t="s">
        <v>72</v>
      </c>
      <c r="F488" t="s">
        <v>28</v>
      </c>
      <c r="G488" t="s">
        <v>36</v>
      </c>
      <c r="H488" t="s">
        <v>66</v>
      </c>
      <c r="I488" t="s">
        <v>73</v>
      </c>
      <c r="J488">
        <v>7</v>
      </c>
      <c r="K488">
        <v>231.3</v>
      </c>
      <c r="L488">
        <v>1619.1</v>
      </c>
      <c r="M488">
        <v>0.05</v>
      </c>
      <c r="N488">
        <v>361.68</v>
      </c>
      <c r="O488" t="s">
        <v>49</v>
      </c>
    </row>
    <row r="489" spans="1:15" x14ac:dyDescent="0.2">
      <c r="A489" t="s">
        <v>571</v>
      </c>
      <c r="B489" s="1">
        <v>45642</v>
      </c>
      <c r="C489" t="s">
        <v>25</v>
      </c>
      <c r="D489" t="s">
        <v>17</v>
      </c>
      <c r="E489" t="s">
        <v>18</v>
      </c>
      <c r="F489" t="s">
        <v>19</v>
      </c>
      <c r="G489" t="s">
        <v>57</v>
      </c>
      <c r="H489" t="s">
        <v>41</v>
      </c>
      <c r="I489" t="s">
        <v>42</v>
      </c>
      <c r="J489">
        <v>2</v>
      </c>
      <c r="K489">
        <v>83.34</v>
      </c>
      <c r="L489">
        <v>166.68</v>
      </c>
      <c r="M489">
        <v>0.15</v>
      </c>
      <c r="N489">
        <v>21.39</v>
      </c>
      <c r="O489" t="s">
        <v>23</v>
      </c>
    </row>
    <row r="490" spans="1:15" x14ac:dyDescent="0.2">
      <c r="A490" t="s">
        <v>572</v>
      </c>
      <c r="B490" s="1">
        <v>45778</v>
      </c>
      <c r="C490" t="s">
        <v>39</v>
      </c>
      <c r="D490" t="s">
        <v>54</v>
      </c>
      <c r="E490" t="s">
        <v>55</v>
      </c>
      <c r="F490" t="s">
        <v>56</v>
      </c>
      <c r="G490" t="s">
        <v>57</v>
      </c>
      <c r="H490" t="s">
        <v>41</v>
      </c>
      <c r="I490" t="s">
        <v>86</v>
      </c>
      <c r="J490">
        <v>3</v>
      </c>
      <c r="K490">
        <v>122.55</v>
      </c>
      <c r="L490">
        <v>367.65</v>
      </c>
      <c r="M490">
        <v>0.1</v>
      </c>
      <c r="N490">
        <v>67.2</v>
      </c>
      <c r="O490" t="s">
        <v>30</v>
      </c>
    </row>
    <row r="491" spans="1:15" x14ac:dyDescent="0.2">
      <c r="A491" t="s">
        <v>573</v>
      </c>
      <c r="B491" s="1">
        <v>45680</v>
      </c>
      <c r="C491" t="s">
        <v>16</v>
      </c>
      <c r="D491" t="s">
        <v>154</v>
      </c>
      <c r="E491" t="s">
        <v>120</v>
      </c>
      <c r="F491" t="s">
        <v>28</v>
      </c>
      <c r="G491" t="s">
        <v>36</v>
      </c>
      <c r="H491" t="s">
        <v>47</v>
      </c>
      <c r="I491" t="s">
        <v>48</v>
      </c>
      <c r="J491">
        <v>2</v>
      </c>
      <c r="K491">
        <v>134.11000000000001</v>
      </c>
      <c r="L491">
        <v>268.22000000000003</v>
      </c>
      <c r="M491">
        <v>0.2</v>
      </c>
      <c r="N491">
        <v>50.15</v>
      </c>
      <c r="O491" t="s">
        <v>37</v>
      </c>
    </row>
    <row r="492" spans="1:15" x14ac:dyDescent="0.2">
      <c r="A492" t="s">
        <v>574</v>
      </c>
      <c r="B492" s="1">
        <v>45638</v>
      </c>
      <c r="C492" t="s">
        <v>25</v>
      </c>
      <c r="D492" t="s">
        <v>113</v>
      </c>
      <c r="E492" t="s">
        <v>91</v>
      </c>
      <c r="F492" t="s">
        <v>19</v>
      </c>
      <c r="G492" t="s">
        <v>36</v>
      </c>
      <c r="H492" t="s">
        <v>47</v>
      </c>
      <c r="I492" t="s">
        <v>58</v>
      </c>
      <c r="J492">
        <v>6</v>
      </c>
      <c r="K492">
        <v>592.29999999999995</v>
      </c>
      <c r="L492">
        <v>3553.8</v>
      </c>
      <c r="M492">
        <v>0.2</v>
      </c>
      <c r="N492">
        <v>203.43</v>
      </c>
      <c r="O492" t="s">
        <v>23</v>
      </c>
    </row>
    <row r="493" spans="1:15" x14ac:dyDescent="0.2">
      <c r="A493" t="s">
        <v>575</v>
      </c>
      <c r="B493" s="1">
        <v>45726</v>
      </c>
      <c r="C493" t="s">
        <v>16</v>
      </c>
      <c r="D493" t="s">
        <v>40</v>
      </c>
      <c r="E493" t="s">
        <v>34</v>
      </c>
      <c r="F493" t="s">
        <v>35</v>
      </c>
      <c r="G493" t="s">
        <v>20</v>
      </c>
      <c r="H493" t="s">
        <v>21</v>
      </c>
      <c r="I493" t="s">
        <v>52</v>
      </c>
      <c r="J493">
        <v>5</v>
      </c>
      <c r="K493">
        <v>758.14</v>
      </c>
      <c r="L493">
        <v>3790.7</v>
      </c>
      <c r="M493">
        <v>0.05</v>
      </c>
      <c r="N493">
        <v>708.31</v>
      </c>
      <c r="O493" t="s">
        <v>49</v>
      </c>
    </row>
    <row r="494" spans="1:15" x14ac:dyDescent="0.2">
      <c r="A494" t="s">
        <v>576</v>
      </c>
      <c r="B494" s="1">
        <v>45682</v>
      </c>
      <c r="C494" t="s">
        <v>16</v>
      </c>
      <c r="D494" t="s">
        <v>26</v>
      </c>
      <c r="E494" t="s">
        <v>27</v>
      </c>
      <c r="F494" t="s">
        <v>28</v>
      </c>
      <c r="G494" t="s">
        <v>57</v>
      </c>
      <c r="H494" t="s">
        <v>21</v>
      </c>
      <c r="I494" t="s">
        <v>79</v>
      </c>
      <c r="J494">
        <v>8</v>
      </c>
      <c r="K494">
        <v>178.37</v>
      </c>
      <c r="L494">
        <v>1426.96</v>
      </c>
      <c r="M494">
        <v>0.2</v>
      </c>
      <c r="N494">
        <v>120.85</v>
      </c>
      <c r="O494" t="s">
        <v>23</v>
      </c>
    </row>
    <row r="495" spans="1:15" x14ac:dyDescent="0.2">
      <c r="A495" t="s">
        <v>577</v>
      </c>
      <c r="B495" s="1">
        <v>45778</v>
      </c>
      <c r="C495" t="s">
        <v>32</v>
      </c>
      <c r="D495" t="s">
        <v>40</v>
      </c>
      <c r="E495" t="s">
        <v>34</v>
      </c>
      <c r="F495" t="s">
        <v>35</v>
      </c>
      <c r="G495" t="s">
        <v>20</v>
      </c>
      <c r="H495" t="s">
        <v>21</v>
      </c>
      <c r="I495" t="s">
        <v>79</v>
      </c>
      <c r="J495">
        <v>5</v>
      </c>
      <c r="K495">
        <v>324.14999999999998</v>
      </c>
      <c r="L495">
        <v>1620.75</v>
      </c>
      <c r="M495">
        <v>0.1</v>
      </c>
      <c r="N495">
        <v>293.86</v>
      </c>
      <c r="O495" t="s">
        <v>49</v>
      </c>
    </row>
    <row r="496" spans="1:15" x14ac:dyDescent="0.2">
      <c r="A496" t="s">
        <v>578</v>
      </c>
      <c r="B496" s="1">
        <v>45598</v>
      </c>
      <c r="C496" t="s">
        <v>44</v>
      </c>
      <c r="D496" t="s">
        <v>90</v>
      </c>
      <c r="E496" t="s">
        <v>91</v>
      </c>
      <c r="F496" t="s">
        <v>19</v>
      </c>
      <c r="G496" t="s">
        <v>20</v>
      </c>
      <c r="H496" t="s">
        <v>41</v>
      </c>
      <c r="I496" t="s">
        <v>63</v>
      </c>
      <c r="J496">
        <v>2</v>
      </c>
      <c r="K496">
        <v>348.65</v>
      </c>
      <c r="L496">
        <v>697.3</v>
      </c>
      <c r="M496">
        <v>0.05</v>
      </c>
      <c r="N496">
        <v>48.83</v>
      </c>
      <c r="O496" t="s">
        <v>23</v>
      </c>
    </row>
    <row r="497" spans="1:15" x14ac:dyDescent="0.2">
      <c r="A497" t="s">
        <v>579</v>
      </c>
      <c r="B497" s="1">
        <v>45800</v>
      </c>
      <c r="C497" t="s">
        <v>25</v>
      </c>
      <c r="D497" t="s">
        <v>107</v>
      </c>
      <c r="E497" t="s">
        <v>96</v>
      </c>
      <c r="F497" t="s">
        <v>56</v>
      </c>
      <c r="G497" t="s">
        <v>57</v>
      </c>
      <c r="H497" t="s">
        <v>66</v>
      </c>
      <c r="I497" t="s">
        <v>67</v>
      </c>
      <c r="J497">
        <v>4</v>
      </c>
      <c r="K497">
        <v>667.1</v>
      </c>
      <c r="L497">
        <v>2668.4</v>
      </c>
      <c r="M497">
        <v>0.05</v>
      </c>
      <c r="N497">
        <v>175.41</v>
      </c>
      <c r="O497" t="s">
        <v>30</v>
      </c>
    </row>
    <row r="498" spans="1:15" x14ac:dyDescent="0.2">
      <c r="A498" t="s">
        <v>580</v>
      </c>
      <c r="B498" s="1">
        <v>45455</v>
      </c>
      <c r="C498" t="s">
        <v>32</v>
      </c>
      <c r="D498" t="s">
        <v>69</v>
      </c>
      <c r="E498" t="s">
        <v>27</v>
      </c>
      <c r="F498" t="s">
        <v>28</v>
      </c>
      <c r="G498" t="s">
        <v>57</v>
      </c>
      <c r="H498" t="s">
        <v>41</v>
      </c>
      <c r="I498" t="s">
        <v>63</v>
      </c>
      <c r="J498">
        <v>6</v>
      </c>
      <c r="K498">
        <v>204.73</v>
      </c>
      <c r="L498">
        <v>1228.3800000000001</v>
      </c>
      <c r="M498">
        <v>0.2</v>
      </c>
      <c r="N498">
        <v>132.96</v>
      </c>
      <c r="O498" t="s">
        <v>30</v>
      </c>
    </row>
    <row r="499" spans="1:15" x14ac:dyDescent="0.2">
      <c r="A499" t="s">
        <v>581</v>
      </c>
      <c r="B499" s="1">
        <v>45710</v>
      </c>
      <c r="C499" t="s">
        <v>32</v>
      </c>
      <c r="D499" t="s">
        <v>90</v>
      </c>
      <c r="E499" t="s">
        <v>91</v>
      </c>
      <c r="F499" t="s">
        <v>19</v>
      </c>
      <c r="G499" t="s">
        <v>20</v>
      </c>
      <c r="H499" t="s">
        <v>47</v>
      </c>
      <c r="I499" t="s">
        <v>48</v>
      </c>
      <c r="J499">
        <v>8</v>
      </c>
      <c r="K499">
        <v>889.1</v>
      </c>
      <c r="L499">
        <v>7112.8</v>
      </c>
      <c r="M499">
        <v>0.15</v>
      </c>
      <c r="N499">
        <v>620.38</v>
      </c>
      <c r="O499" t="s">
        <v>30</v>
      </c>
    </row>
    <row r="500" spans="1:15" x14ac:dyDescent="0.2">
      <c r="A500" t="s">
        <v>582</v>
      </c>
      <c r="B500" s="1">
        <v>45493</v>
      </c>
      <c r="C500" t="s">
        <v>39</v>
      </c>
      <c r="D500" t="s">
        <v>104</v>
      </c>
      <c r="E500" t="s">
        <v>72</v>
      </c>
      <c r="F500" t="s">
        <v>28</v>
      </c>
      <c r="G500" t="s">
        <v>20</v>
      </c>
      <c r="H500" t="s">
        <v>41</v>
      </c>
      <c r="I500" t="s">
        <v>42</v>
      </c>
      <c r="J500">
        <v>6</v>
      </c>
      <c r="K500">
        <v>158.41</v>
      </c>
      <c r="L500">
        <v>950.46</v>
      </c>
      <c r="M500">
        <v>0.1</v>
      </c>
      <c r="N500">
        <v>90.01</v>
      </c>
      <c r="O500" t="s">
        <v>30</v>
      </c>
    </row>
    <row r="501" spans="1:15" x14ac:dyDescent="0.2">
      <c r="A501" t="s">
        <v>583</v>
      </c>
      <c r="B501" s="1">
        <v>45640</v>
      </c>
      <c r="C501" t="s">
        <v>44</v>
      </c>
      <c r="D501" t="s">
        <v>104</v>
      </c>
      <c r="E501" t="s">
        <v>72</v>
      </c>
      <c r="F501" t="s">
        <v>28</v>
      </c>
      <c r="G501" t="s">
        <v>57</v>
      </c>
      <c r="H501" t="s">
        <v>21</v>
      </c>
      <c r="I501" t="s">
        <v>22</v>
      </c>
      <c r="J501">
        <v>9</v>
      </c>
      <c r="K501">
        <v>661.81</v>
      </c>
      <c r="L501">
        <v>5956.29</v>
      </c>
      <c r="M501">
        <v>0</v>
      </c>
      <c r="N501">
        <v>1428.54</v>
      </c>
      <c r="O501"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AFD71-9B2C-0B4F-AF3D-17092E4E1772}">
  <dimension ref="B2:E3"/>
  <sheetViews>
    <sheetView workbookViewId="0">
      <selection activeCell="AD23" sqref="AD23"/>
    </sheetView>
  </sheetViews>
  <sheetFormatPr baseColWidth="10" defaultRowHeight="16" x14ac:dyDescent="0.2"/>
  <cols>
    <col min="1" max="1" width="10.83203125" style="8"/>
    <col min="2" max="2" width="13" style="6" bestFit="1" customWidth="1"/>
    <col min="3" max="3" width="17.1640625" style="6" bestFit="1" customWidth="1"/>
    <col min="4" max="4" width="17.83203125" style="9" bestFit="1" customWidth="1"/>
    <col min="5" max="5" width="13.1640625" style="6" bestFit="1" customWidth="1"/>
    <col min="6" max="16384" width="10.83203125" style="8"/>
  </cols>
  <sheetData>
    <row r="2" spans="2:5" x14ac:dyDescent="0.2">
      <c r="B2" s="6" t="s">
        <v>584</v>
      </c>
      <c r="C2" s="6" t="s">
        <v>585</v>
      </c>
      <c r="D2" s="7" t="s">
        <v>586</v>
      </c>
      <c r="E2" s="6" t="s">
        <v>587</v>
      </c>
    </row>
    <row r="3" spans="2:5" x14ac:dyDescent="0.2">
      <c r="B3" s="6">
        <v>440784.56999999983</v>
      </c>
      <c r="C3" s="6">
        <v>2623.7176785714278</v>
      </c>
      <c r="D3" s="7">
        <v>0.1038690476190476</v>
      </c>
      <c r="E3" s="6">
        <v>60895.549999999967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8A7C-A27A-DA4A-8C52-2A594E756D36}">
  <dimension ref="B2:C7"/>
  <sheetViews>
    <sheetView workbookViewId="0">
      <selection activeCell="L12" sqref="L12"/>
    </sheetView>
  </sheetViews>
  <sheetFormatPr baseColWidth="10" defaultRowHeight="16" x14ac:dyDescent="0.2"/>
  <cols>
    <col min="2" max="2" width="13" bestFit="1" customWidth="1"/>
    <col min="3" max="3" width="13" style="3" bestFit="1" customWidth="1"/>
  </cols>
  <sheetData>
    <row r="2" spans="2:3" x14ac:dyDescent="0.2">
      <c r="B2" s="4" t="s">
        <v>588</v>
      </c>
      <c r="C2" s="3" t="s">
        <v>584</v>
      </c>
    </row>
    <row r="3" spans="2:3" x14ac:dyDescent="0.2">
      <c r="B3" s="10" t="s">
        <v>44</v>
      </c>
      <c r="C3" s="3">
        <v>80992.089999999982</v>
      </c>
    </row>
    <row r="4" spans="2:3" x14ac:dyDescent="0.2">
      <c r="B4" s="10" t="s">
        <v>32</v>
      </c>
      <c r="C4" s="3">
        <v>96321.530000000028</v>
      </c>
    </row>
    <row r="5" spans="2:3" x14ac:dyDescent="0.2">
      <c r="B5" s="10" t="s">
        <v>25</v>
      </c>
      <c r="C5" s="3">
        <v>79167.41</v>
      </c>
    </row>
    <row r="6" spans="2:3" x14ac:dyDescent="0.2">
      <c r="B6" s="10" t="s">
        <v>16</v>
      </c>
      <c r="C6" s="3">
        <v>97348.99000000002</v>
      </c>
    </row>
    <row r="7" spans="2:3" x14ac:dyDescent="0.2">
      <c r="B7" s="10" t="s">
        <v>39</v>
      </c>
      <c r="C7" s="3">
        <v>86954.549999999988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CAC7-6642-F640-950B-924EEE1B1FD5}">
  <dimension ref="B2:F15"/>
  <sheetViews>
    <sheetView topLeftCell="B1" zoomScaleNormal="100" workbookViewId="0">
      <selection activeCell="P10" sqref="P10"/>
    </sheetView>
  </sheetViews>
  <sheetFormatPr baseColWidth="10" defaultRowHeight="16" x14ac:dyDescent="0.2"/>
  <cols>
    <col min="2" max="2" width="13.33203125" bestFit="1" customWidth="1"/>
    <col min="3" max="3" width="16" bestFit="1" customWidth="1"/>
    <col min="4" max="5" width="10.5" bestFit="1" customWidth="1"/>
    <col min="6" max="6" width="14.33203125" bestFit="1" customWidth="1"/>
    <col min="7" max="7" width="11.5" bestFit="1" customWidth="1"/>
  </cols>
  <sheetData>
    <row r="2" spans="2:6" x14ac:dyDescent="0.2">
      <c r="B2" s="4" t="s">
        <v>587</v>
      </c>
      <c r="C2" s="4" t="s">
        <v>590</v>
      </c>
    </row>
    <row r="3" spans="2:6" x14ac:dyDescent="0.2">
      <c r="B3" s="4" t="s">
        <v>588</v>
      </c>
      <c r="C3" t="s">
        <v>41</v>
      </c>
      <c r="D3" t="s">
        <v>66</v>
      </c>
      <c r="E3" t="s">
        <v>21</v>
      </c>
      <c r="F3" t="s">
        <v>47</v>
      </c>
    </row>
    <row r="4" spans="2:6" x14ac:dyDescent="0.2">
      <c r="B4" s="10" t="s">
        <v>72</v>
      </c>
      <c r="C4" s="3">
        <v>785.56999999999994</v>
      </c>
      <c r="D4" s="3"/>
      <c r="E4" s="3">
        <v>856.69</v>
      </c>
      <c r="F4" s="3">
        <v>1943.91</v>
      </c>
    </row>
    <row r="5" spans="2:6" x14ac:dyDescent="0.2">
      <c r="B5" s="10" t="s">
        <v>34</v>
      </c>
      <c r="C5" s="3">
        <v>46.62</v>
      </c>
      <c r="D5" s="3">
        <v>390.52</v>
      </c>
      <c r="E5" s="3">
        <v>2371.9700000000003</v>
      </c>
      <c r="F5" s="3">
        <v>174.54</v>
      </c>
    </row>
    <row r="6" spans="2:6" x14ac:dyDescent="0.2">
      <c r="B6" s="10" t="s">
        <v>18</v>
      </c>
      <c r="C6" s="3">
        <v>3085.83</v>
      </c>
      <c r="D6" s="3"/>
      <c r="E6" s="3">
        <v>2138.33</v>
      </c>
      <c r="F6" s="3">
        <v>1571.27</v>
      </c>
    </row>
    <row r="7" spans="2:6" x14ac:dyDescent="0.2">
      <c r="B7" s="10" t="s">
        <v>55</v>
      </c>
      <c r="C7" s="3">
        <v>1080.01</v>
      </c>
      <c r="D7" s="3">
        <v>1277.1099999999999</v>
      </c>
      <c r="E7" s="3">
        <v>248.66</v>
      </c>
      <c r="F7" s="3">
        <v>422.74</v>
      </c>
    </row>
    <row r="8" spans="2:6" x14ac:dyDescent="0.2">
      <c r="B8" s="10" t="s">
        <v>61</v>
      </c>
      <c r="C8" s="3">
        <v>2690.91</v>
      </c>
      <c r="D8" s="3">
        <v>296.83999999999997</v>
      </c>
      <c r="E8" s="3">
        <v>958.15</v>
      </c>
      <c r="F8" s="3">
        <v>465.03999999999996</v>
      </c>
    </row>
    <row r="9" spans="2:6" x14ac:dyDescent="0.2">
      <c r="B9" s="10" t="s">
        <v>27</v>
      </c>
      <c r="C9" s="3">
        <v>2589.8500000000004</v>
      </c>
      <c r="D9" s="3">
        <v>2500.65</v>
      </c>
      <c r="E9" s="3">
        <v>2668.7799999999997</v>
      </c>
      <c r="F9" s="3">
        <v>113.95</v>
      </c>
    </row>
    <row r="10" spans="2:6" x14ac:dyDescent="0.2">
      <c r="B10" s="10" t="s">
        <v>143</v>
      </c>
      <c r="C10" s="3">
        <v>284.81</v>
      </c>
      <c r="D10" s="3">
        <v>1650.92</v>
      </c>
      <c r="E10" s="3">
        <v>1622.3400000000001</v>
      </c>
      <c r="F10" s="3">
        <v>1107.6400000000001</v>
      </c>
    </row>
    <row r="11" spans="2:6" x14ac:dyDescent="0.2">
      <c r="B11" s="10" t="s">
        <v>91</v>
      </c>
      <c r="C11" s="3">
        <v>1852.6399999999999</v>
      </c>
      <c r="D11" s="3">
        <v>441.17</v>
      </c>
      <c r="E11" s="3">
        <v>680.88</v>
      </c>
      <c r="F11" s="3">
        <v>2022.4899999999998</v>
      </c>
    </row>
    <row r="12" spans="2:6" x14ac:dyDescent="0.2">
      <c r="B12" s="10" t="s">
        <v>46</v>
      </c>
      <c r="C12" s="3">
        <v>3167.8900000000003</v>
      </c>
      <c r="D12" s="3">
        <v>1042.69</v>
      </c>
      <c r="E12" s="3">
        <v>2477.3999999999996</v>
      </c>
      <c r="F12" s="3">
        <v>3354.55</v>
      </c>
    </row>
    <row r="13" spans="2:6" x14ac:dyDescent="0.2">
      <c r="B13" s="10" t="s">
        <v>101</v>
      </c>
      <c r="C13" s="3">
        <v>796.64</v>
      </c>
      <c r="D13" s="3">
        <v>830.93000000000006</v>
      </c>
      <c r="E13" s="3">
        <v>813.13</v>
      </c>
      <c r="F13" s="3">
        <v>557.53</v>
      </c>
    </row>
    <row r="14" spans="2:6" x14ac:dyDescent="0.2">
      <c r="B14" s="10" t="s">
        <v>96</v>
      </c>
      <c r="C14" s="3">
        <v>2629.92</v>
      </c>
      <c r="D14" s="3">
        <v>1705.35</v>
      </c>
      <c r="E14" s="3">
        <v>125.49</v>
      </c>
      <c r="F14" s="3">
        <v>1720.01</v>
      </c>
    </row>
    <row r="15" spans="2:6" x14ac:dyDescent="0.2">
      <c r="B15" s="10" t="s">
        <v>120</v>
      </c>
      <c r="C15" s="3">
        <v>913.54</v>
      </c>
      <c r="D15" s="3">
        <v>1513.97</v>
      </c>
      <c r="E15" s="3">
        <v>483.36999999999995</v>
      </c>
      <c r="F15" s="3">
        <v>422.31</v>
      </c>
    </row>
  </sheetData>
  <pageMargins left="0.7" right="0.7" top="0.75" bottom="0.75" header="0.3" footer="0.3"/>
  <pageSetup paperSize="9"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019C-AA07-104C-BD7D-CFE408EACE17}">
  <dimension ref="B2:C17"/>
  <sheetViews>
    <sheetView workbookViewId="0">
      <selection activeCell="N32" sqref="N32"/>
    </sheetView>
  </sheetViews>
  <sheetFormatPr baseColWidth="10" defaultRowHeight="16" x14ac:dyDescent="0.2"/>
  <cols>
    <col min="2" max="2" width="13" bestFit="1" customWidth="1"/>
    <col min="3" max="3" width="13" style="3" bestFit="1" customWidth="1"/>
  </cols>
  <sheetData>
    <row r="2" spans="2:3" x14ac:dyDescent="0.2">
      <c r="B2" s="4" t="s">
        <v>588</v>
      </c>
      <c r="C2" s="3" t="s">
        <v>584</v>
      </c>
    </row>
    <row r="3" spans="2:3" x14ac:dyDescent="0.2">
      <c r="B3" s="10" t="s">
        <v>591</v>
      </c>
      <c r="C3" s="3">
        <v>253312.15999999997</v>
      </c>
    </row>
    <row r="4" spans="2:3" x14ac:dyDescent="0.2">
      <c r="B4" s="11" t="s">
        <v>593</v>
      </c>
      <c r="C4" s="3">
        <v>48724.47</v>
      </c>
    </row>
    <row r="5" spans="2:3" x14ac:dyDescent="0.2">
      <c r="B5" s="11" t="s">
        <v>594</v>
      </c>
      <c r="C5" s="3">
        <v>30232.649999999998</v>
      </c>
    </row>
    <row r="6" spans="2:3" x14ac:dyDescent="0.2">
      <c r="B6" s="11" t="s">
        <v>595</v>
      </c>
      <c r="C6" s="3">
        <v>29853.75</v>
      </c>
    </row>
    <row r="7" spans="2:3" x14ac:dyDescent="0.2">
      <c r="B7" s="11" t="s">
        <v>596</v>
      </c>
      <c r="C7" s="3">
        <v>27327.100000000006</v>
      </c>
    </row>
    <row r="8" spans="2:3" x14ac:dyDescent="0.2">
      <c r="B8" s="11" t="s">
        <v>597</v>
      </c>
      <c r="C8" s="3">
        <v>37859.659999999996</v>
      </c>
    </row>
    <row r="9" spans="2:3" x14ac:dyDescent="0.2">
      <c r="B9" s="11" t="s">
        <v>598</v>
      </c>
      <c r="C9" s="3">
        <v>18066.739999999998</v>
      </c>
    </row>
    <row r="10" spans="2:3" x14ac:dyDescent="0.2">
      <c r="B10" s="11" t="s">
        <v>599</v>
      </c>
      <c r="C10" s="3">
        <v>61247.789999999994</v>
      </c>
    </row>
    <row r="11" spans="2:3" x14ac:dyDescent="0.2">
      <c r="B11" s="10" t="s">
        <v>592</v>
      </c>
      <c r="C11" s="3">
        <v>187472.41</v>
      </c>
    </row>
    <row r="12" spans="2:3" x14ac:dyDescent="0.2">
      <c r="B12" s="11" t="s">
        <v>600</v>
      </c>
      <c r="C12" s="3">
        <v>35290.839999999997</v>
      </c>
    </row>
    <row r="13" spans="2:3" x14ac:dyDescent="0.2">
      <c r="B13" s="11" t="s">
        <v>601</v>
      </c>
      <c r="C13" s="3">
        <v>46824.52</v>
      </c>
    </row>
    <row r="14" spans="2:3" x14ac:dyDescent="0.2">
      <c r="B14" s="11" t="s">
        <v>602</v>
      </c>
      <c r="C14" s="3">
        <v>30041.190000000006</v>
      </c>
    </row>
    <row r="15" spans="2:3" x14ac:dyDescent="0.2">
      <c r="B15" s="11" t="s">
        <v>603</v>
      </c>
      <c r="C15" s="3">
        <v>34186.880000000005</v>
      </c>
    </row>
    <row r="16" spans="2:3" x14ac:dyDescent="0.2">
      <c r="B16" s="11" t="s">
        <v>604</v>
      </c>
      <c r="C16" s="3">
        <v>24930.030000000002</v>
      </c>
    </row>
    <row r="17" spans="2:3" x14ac:dyDescent="0.2">
      <c r="B17" s="11" t="s">
        <v>593</v>
      </c>
      <c r="C17" s="3">
        <v>16198.95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7238-5E34-274F-9E52-66C7279DD49C}">
  <dimension ref="B2:C6"/>
  <sheetViews>
    <sheetView workbookViewId="0">
      <selection activeCell="L28" sqref="L28"/>
    </sheetView>
  </sheetViews>
  <sheetFormatPr baseColWidth="10" defaultRowHeight="16" x14ac:dyDescent="0.2"/>
  <cols>
    <col min="2" max="2" width="14" bestFit="1" customWidth="1"/>
    <col min="3" max="3" width="13.1640625" style="3" bestFit="1" customWidth="1"/>
  </cols>
  <sheetData>
    <row r="2" spans="2:3" x14ac:dyDescent="0.2">
      <c r="B2" s="4" t="s">
        <v>588</v>
      </c>
      <c r="C2" s="3" t="s">
        <v>587</v>
      </c>
    </row>
    <row r="3" spans="2:3" x14ac:dyDescent="0.2">
      <c r="B3" s="10" t="s">
        <v>41</v>
      </c>
      <c r="C3" s="3">
        <v>2629.92</v>
      </c>
    </row>
    <row r="4" spans="2:3" x14ac:dyDescent="0.2">
      <c r="B4" s="10" t="s">
        <v>47</v>
      </c>
      <c r="C4" s="3">
        <v>1720.01</v>
      </c>
    </row>
    <row r="5" spans="2:3" x14ac:dyDescent="0.2">
      <c r="B5" s="10" t="s">
        <v>66</v>
      </c>
      <c r="C5" s="3">
        <v>1705.35</v>
      </c>
    </row>
    <row r="6" spans="2:3" x14ac:dyDescent="0.2">
      <c r="B6" s="10" t="s">
        <v>21</v>
      </c>
      <c r="C6" s="3">
        <v>125.49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B0A5E-EDDE-DF4C-B58E-56D5DC72B37D}">
  <dimension ref="B2:C6"/>
  <sheetViews>
    <sheetView workbookViewId="0">
      <selection activeCell="H27" sqref="H27"/>
    </sheetView>
  </sheetViews>
  <sheetFormatPr baseColWidth="10" defaultRowHeight="16" x14ac:dyDescent="0.2"/>
  <cols>
    <col min="2" max="2" width="15.5" bestFit="1" customWidth="1"/>
    <col min="3" max="3" width="13" style="3" bestFit="1" customWidth="1"/>
  </cols>
  <sheetData>
    <row r="2" spans="2:3" x14ac:dyDescent="0.2">
      <c r="B2" s="12" t="s">
        <v>588</v>
      </c>
      <c r="C2" s="13" t="s">
        <v>584</v>
      </c>
    </row>
    <row r="3" spans="2:3" x14ac:dyDescent="0.2">
      <c r="B3" s="10" t="s">
        <v>49</v>
      </c>
      <c r="C3" s="3">
        <v>104408.52999999998</v>
      </c>
    </row>
    <row r="4" spans="2:3" x14ac:dyDescent="0.2">
      <c r="B4" s="10" t="s">
        <v>37</v>
      </c>
      <c r="C4" s="3">
        <v>73828.440000000017</v>
      </c>
    </row>
    <row r="5" spans="2:3" x14ac:dyDescent="0.2">
      <c r="B5" s="10" t="s">
        <v>30</v>
      </c>
      <c r="C5" s="3">
        <v>128667.73000000001</v>
      </c>
    </row>
    <row r="6" spans="2:3" x14ac:dyDescent="0.2">
      <c r="B6" s="10" t="s">
        <v>23</v>
      </c>
      <c r="C6" s="3">
        <v>133879.87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B1DD-117A-6149-AD7B-6121182DEE75}">
  <dimension ref="B2:C26"/>
  <sheetViews>
    <sheetView workbookViewId="0">
      <selection activeCell="I39" sqref="I39"/>
    </sheetView>
  </sheetViews>
  <sheetFormatPr baseColWidth="10" defaultRowHeight="16" x14ac:dyDescent="0.2"/>
  <cols>
    <col min="2" max="2" width="13" bestFit="1" customWidth="1"/>
    <col min="3" max="3" width="13" style="3" bestFit="1" customWidth="1"/>
  </cols>
  <sheetData>
    <row r="2" spans="2:3" x14ac:dyDescent="0.2">
      <c r="B2" s="4" t="s">
        <v>588</v>
      </c>
      <c r="C2" s="3" t="s">
        <v>584</v>
      </c>
    </row>
    <row r="3" spans="2:3" x14ac:dyDescent="0.2">
      <c r="B3" s="10" t="s">
        <v>51</v>
      </c>
      <c r="C3" s="3">
        <v>49238.000000000007</v>
      </c>
    </row>
    <row r="4" spans="2:3" x14ac:dyDescent="0.2">
      <c r="B4" s="10" t="s">
        <v>69</v>
      </c>
      <c r="C4" s="3">
        <v>33258.94</v>
      </c>
    </row>
    <row r="5" spans="2:3" x14ac:dyDescent="0.2">
      <c r="B5" s="10" t="s">
        <v>95</v>
      </c>
      <c r="C5" s="3">
        <v>30051.760000000006</v>
      </c>
    </row>
    <row r="6" spans="2:3" x14ac:dyDescent="0.2">
      <c r="B6" s="10" t="s">
        <v>17</v>
      </c>
      <c r="C6" s="3">
        <v>25809.13</v>
      </c>
    </row>
    <row r="7" spans="2:3" x14ac:dyDescent="0.2">
      <c r="B7" s="10" t="s">
        <v>90</v>
      </c>
      <c r="C7" s="3">
        <v>25613.29</v>
      </c>
    </row>
    <row r="8" spans="2:3" x14ac:dyDescent="0.2">
      <c r="B8" s="10" t="s">
        <v>76</v>
      </c>
      <c r="C8" s="3">
        <v>21238.199999999997</v>
      </c>
    </row>
    <row r="9" spans="2:3" x14ac:dyDescent="0.2">
      <c r="B9" s="10" t="s">
        <v>238</v>
      </c>
      <c r="C9" s="3">
        <v>20734.259999999998</v>
      </c>
    </row>
    <row r="10" spans="2:3" x14ac:dyDescent="0.2">
      <c r="B10" s="10" t="s">
        <v>119</v>
      </c>
      <c r="C10" s="3">
        <v>19298.050000000003</v>
      </c>
    </row>
    <row r="11" spans="2:3" x14ac:dyDescent="0.2">
      <c r="B11" s="10" t="s">
        <v>93</v>
      </c>
      <c r="C11" s="3">
        <v>18626.680000000004</v>
      </c>
    </row>
    <row r="12" spans="2:3" x14ac:dyDescent="0.2">
      <c r="B12" s="10" t="s">
        <v>26</v>
      </c>
      <c r="C12" s="3">
        <v>18146.719999999998</v>
      </c>
    </row>
    <row r="13" spans="2:3" x14ac:dyDescent="0.2">
      <c r="C13"/>
    </row>
    <row r="14" spans="2:3" x14ac:dyDescent="0.2">
      <c r="C14"/>
    </row>
    <row r="15" spans="2:3" x14ac:dyDescent="0.2">
      <c r="C15"/>
    </row>
    <row r="16" spans="2:3" x14ac:dyDescent="0.2">
      <c r="C16"/>
    </row>
    <row r="17" spans="3:3" x14ac:dyDescent="0.2">
      <c r="C17"/>
    </row>
    <row r="18" spans="3:3" x14ac:dyDescent="0.2">
      <c r="C18"/>
    </row>
    <row r="19" spans="3:3" x14ac:dyDescent="0.2">
      <c r="C19"/>
    </row>
    <row r="20" spans="3:3" x14ac:dyDescent="0.2">
      <c r="C20"/>
    </row>
    <row r="21" spans="3:3" x14ac:dyDescent="0.2">
      <c r="C21"/>
    </row>
    <row r="22" spans="3:3" x14ac:dyDescent="0.2">
      <c r="C22"/>
    </row>
    <row r="23" spans="3:3" x14ac:dyDescent="0.2">
      <c r="C23"/>
    </row>
    <row r="24" spans="3:3" x14ac:dyDescent="0.2">
      <c r="C24"/>
    </row>
    <row r="25" spans="3:3" x14ac:dyDescent="0.2">
      <c r="C25"/>
    </row>
    <row r="26" spans="3:3" x14ac:dyDescent="0.2">
      <c r="C26"/>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58276-0A91-6748-8D20-616DDE21B78A}">
  <dimension ref="B2:C15"/>
  <sheetViews>
    <sheetView workbookViewId="0">
      <selection activeCell="O16" sqref="O16"/>
    </sheetView>
  </sheetViews>
  <sheetFormatPr baseColWidth="10" defaultRowHeight="16" x14ac:dyDescent="0.2"/>
  <cols>
    <col min="2" max="2" width="13" bestFit="1" customWidth="1"/>
    <col min="3" max="3" width="13" style="3" bestFit="1" customWidth="1"/>
  </cols>
  <sheetData>
    <row r="2" spans="2:3" x14ac:dyDescent="0.2">
      <c r="B2" s="4" t="s">
        <v>588</v>
      </c>
      <c r="C2" s="3" t="s">
        <v>584</v>
      </c>
    </row>
    <row r="3" spans="2:3" x14ac:dyDescent="0.2">
      <c r="B3" s="10" t="s">
        <v>42</v>
      </c>
      <c r="C3" s="3">
        <v>43065.02</v>
      </c>
    </row>
    <row r="4" spans="2:3" x14ac:dyDescent="0.2">
      <c r="B4" s="10" t="s">
        <v>79</v>
      </c>
      <c r="C4" s="3">
        <v>34125.07</v>
      </c>
    </row>
    <row r="5" spans="2:3" x14ac:dyDescent="0.2">
      <c r="B5" s="10" t="s">
        <v>58</v>
      </c>
      <c r="C5" s="3">
        <v>32289.719999999998</v>
      </c>
    </row>
    <row r="6" spans="2:3" x14ac:dyDescent="0.2">
      <c r="B6" s="10" t="s">
        <v>29</v>
      </c>
      <c r="C6" s="3">
        <v>23550.059999999998</v>
      </c>
    </row>
    <row r="7" spans="2:3" x14ac:dyDescent="0.2">
      <c r="B7" s="10" t="s">
        <v>81</v>
      </c>
      <c r="C7" s="3">
        <v>33063.82</v>
      </c>
    </row>
    <row r="8" spans="2:3" x14ac:dyDescent="0.2">
      <c r="B8" s="10" t="s">
        <v>63</v>
      </c>
      <c r="C8" s="3">
        <v>69148.72</v>
      </c>
    </row>
    <row r="9" spans="2:3" x14ac:dyDescent="0.2">
      <c r="B9" s="10" t="s">
        <v>86</v>
      </c>
      <c r="C9" s="3">
        <v>35789.729999999996</v>
      </c>
    </row>
    <row r="10" spans="2:3" x14ac:dyDescent="0.2">
      <c r="B10" s="10" t="s">
        <v>77</v>
      </c>
      <c r="C10" s="3">
        <v>35070.259999999995</v>
      </c>
    </row>
    <row r="11" spans="2:3" x14ac:dyDescent="0.2">
      <c r="B11" s="10" t="s">
        <v>52</v>
      </c>
      <c r="C11" s="3">
        <v>27080.45</v>
      </c>
    </row>
    <row r="12" spans="2:3" x14ac:dyDescent="0.2">
      <c r="B12" s="10" t="s">
        <v>48</v>
      </c>
      <c r="C12" s="3">
        <v>28309.26</v>
      </c>
    </row>
    <row r="13" spans="2:3" x14ac:dyDescent="0.2">
      <c r="B13" s="10" t="s">
        <v>22</v>
      </c>
      <c r="C13" s="3">
        <v>24943.51</v>
      </c>
    </row>
    <row r="14" spans="2:3" x14ac:dyDescent="0.2">
      <c r="B14" s="10" t="s">
        <v>73</v>
      </c>
      <c r="C14" s="3">
        <v>38646.85</v>
      </c>
    </row>
    <row r="15" spans="2:3" x14ac:dyDescent="0.2">
      <c r="B15" s="10" t="s">
        <v>67</v>
      </c>
      <c r="C15" s="3">
        <v>15702.1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A2291-B5F1-784C-A413-CB57C8FB7C14}">
  <dimension ref="B2:G7"/>
  <sheetViews>
    <sheetView workbookViewId="0">
      <selection activeCell="O23" sqref="O23"/>
    </sheetView>
  </sheetViews>
  <sheetFormatPr baseColWidth="10" defaultRowHeight="16" x14ac:dyDescent="0.2"/>
  <cols>
    <col min="2" max="2" width="13" bestFit="1" customWidth="1"/>
    <col min="3" max="3" width="16" bestFit="1" customWidth="1"/>
    <col min="4" max="5" width="11.5" bestFit="1" customWidth="1"/>
    <col min="6" max="6" width="14.33203125" bestFit="1" customWidth="1"/>
    <col min="7" max="7" width="12.5" bestFit="1" customWidth="1"/>
  </cols>
  <sheetData>
    <row r="2" spans="2:7" x14ac:dyDescent="0.2">
      <c r="B2" s="4" t="s">
        <v>584</v>
      </c>
      <c r="C2" s="4" t="s">
        <v>590</v>
      </c>
    </row>
    <row r="3" spans="2:7" x14ac:dyDescent="0.2">
      <c r="B3" s="4" t="s">
        <v>588</v>
      </c>
      <c r="C3" t="s">
        <v>41</v>
      </c>
      <c r="D3" t="s">
        <v>66</v>
      </c>
      <c r="E3" t="s">
        <v>21</v>
      </c>
      <c r="F3" t="s">
        <v>47</v>
      </c>
      <c r="G3" t="s">
        <v>589</v>
      </c>
    </row>
    <row r="4" spans="2:7" x14ac:dyDescent="0.2">
      <c r="B4" s="10" t="s">
        <v>35</v>
      </c>
      <c r="C4" s="3">
        <v>22262.28</v>
      </c>
      <c r="D4" s="3">
        <v>26200.98</v>
      </c>
      <c r="E4" s="3">
        <v>42193.52</v>
      </c>
      <c r="F4" s="3">
        <v>30215.69</v>
      </c>
      <c r="G4" s="3">
        <v>120872.47</v>
      </c>
    </row>
    <row r="5" spans="2:7" x14ac:dyDescent="0.2">
      <c r="B5" s="10" t="s">
        <v>19</v>
      </c>
      <c r="C5" s="3">
        <v>55637.12999999999</v>
      </c>
      <c r="D5" s="3">
        <v>5006.3</v>
      </c>
      <c r="E5" s="3">
        <v>24460.89</v>
      </c>
      <c r="F5" s="3">
        <v>28968.689999999995</v>
      </c>
      <c r="G5" s="3">
        <v>114073.00999999998</v>
      </c>
    </row>
    <row r="6" spans="2:7" x14ac:dyDescent="0.2">
      <c r="B6" s="10" t="s">
        <v>28</v>
      </c>
      <c r="C6" s="3">
        <v>37160.479999999996</v>
      </c>
      <c r="D6" s="3">
        <v>29165.909999999996</v>
      </c>
      <c r="E6" s="3">
        <v>27788.04</v>
      </c>
      <c r="F6" s="3">
        <v>15237.18</v>
      </c>
      <c r="G6" s="3">
        <v>109351.60999999999</v>
      </c>
    </row>
    <row r="7" spans="2:7" x14ac:dyDescent="0.2">
      <c r="B7" s="10" t="s">
        <v>56</v>
      </c>
      <c r="C7" s="3">
        <v>32943.58</v>
      </c>
      <c r="D7" s="3">
        <v>27039.579999999998</v>
      </c>
      <c r="E7" s="3">
        <v>15256.64</v>
      </c>
      <c r="F7" s="3">
        <v>21247.68</v>
      </c>
      <c r="G7" s="3">
        <v>96487.48000000001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Retail Store Sales</vt:lpstr>
      <vt:lpstr>KPIs</vt:lpstr>
      <vt:lpstr>Sales by Store</vt:lpstr>
      <vt:lpstr>Profit by State</vt:lpstr>
      <vt:lpstr>Sales Trend</vt:lpstr>
      <vt:lpstr>Profit by Category</vt:lpstr>
      <vt:lpstr>Payment Method Distribution</vt:lpstr>
      <vt:lpstr>Sales by City</vt:lpstr>
      <vt:lpstr>Sales by Subcategory</vt:lpstr>
      <vt:lpstr>Sales by Region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 Patel</dc:creator>
  <cp:keywords/>
  <dc:description/>
  <cp:lastModifiedBy>smit patel</cp:lastModifiedBy>
  <cp:revision/>
  <dcterms:created xsi:type="dcterms:W3CDTF">2026-07-13T17:23:47Z</dcterms:created>
  <dcterms:modified xsi:type="dcterms:W3CDTF">2026-07-23T15:08:31Z</dcterms:modified>
  <cp:category/>
  <cp:contentStatus/>
</cp:coreProperties>
</file>